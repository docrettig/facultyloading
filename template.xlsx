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Loading Templat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b val="1"/>
      <color theme="1"/>
      <sz val="14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color theme="1"/>
      <sz val="10"/>
      <u val="single"/>
    </font>
    <font>
      <name val="Times New Roman"/>
      <family val="1"/>
      <b val="1"/>
      <color theme="1"/>
      <sz val="10"/>
    </font>
    <font>
      <name val="Arial"/>
      <family val="2"/>
      <b val="1"/>
      <color theme="1"/>
      <sz val="10"/>
    </font>
    <font>
      <name val="Times New Roman"/>
      <family val="1"/>
      <b val="1"/>
      <color theme="1"/>
      <sz val="9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color theme="0"/>
      <sz val="10"/>
    </font>
    <font>
      <name val="Arial"/>
      <family val="2"/>
      <color rgb="FF000000"/>
      <sz val="12"/>
    </font>
    <font>
      <name val="Aptos Narrow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wrapText="1"/>
    </xf>
    <xf numFmtId="0" fontId="2" fillId="0" borderId="2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3" fillId="0" borderId="8" applyAlignment="1" pivotButton="0" quotePrefix="0" xfId="0">
      <alignment horizontal="center" wrapText="1"/>
    </xf>
    <xf numFmtId="0" fontId="3" fillId="0" borderId="8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applyAlignment="1" pivotButton="0" quotePrefix="0" xfId="0">
      <alignment vertical="center"/>
    </xf>
    <xf numFmtId="0" fontId="2" fillId="2" borderId="1" applyAlignment="1" pivotButton="0" quotePrefix="0" xfId="0">
      <alignment wrapText="1"/>
    </xf>
    <xf numFmtId="0" fontId="2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2" fillId="6" borderId="8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7" fillId="4" borderId="32" applyAlignment="1" pivotButton="0" quotePrefix="0" xfId="0">
      <alignment vertical="center"/>
    </xf>
    <xf numFmtId="0" fontId="2" fillId="4" borderId="33" applyAlignment="1" pivotButton="0" quotePrefix="0" xfId="0">
      <alignment wrapText="1"/>
    </xf>
    <xf numFmtId="0" fontId="7" fillId="4" borderId="33" applyAlignment="1" pivotButton="0" quotePrefix="0" xfId="0">
      <alignment horizontal="right" wrapText="1"/>
    </xf>
    <xf numFmtId="0" fontId="2" fillId="4" borderId="34" applyAlignment="1" pivotButton="0" quotePrefix="0" xfId="0">
      <alignment wrapText="1"/>
    </xf>
    <xf numFmtId="0" fontId="7" fillId="4" borderId="34" applyAlignment="1" pivotButton="0" quotePrefix="0" xfId="0">
      <alignment horizontal="center" vertical="center" wrapText="1"/>
    </xf>
    <xf numFmtId="0" fontId="3" fillId="4" borderId="34" applyAlignment="1" pivotButton="0" quotePrefix="0" xfId="0">
      <alignment horizontal="center" vertical="center" wrapText="1"/>
    </xf>
    <xf numFmtId="0" fontId="2" fillId="5" borderId="35" applyAlignment="1" pivotButton="0" quotePrefix="0" xfId="0">
      <alignment wrapText="1"/>
    </xf>
    <xf numFmtId="0" fontId="2" fillId="0" borderId="29" applyAlignment="1" pivotButton="0" quotePrefix="0" xfId="0">
      <alignment wrapText="1"/>
    </xf>
    <xf numFmtId="0" fontId="3" fillId="0" borderId="29" applyAlignment="1" pivotButton="0" quotePrefix="0" xfId="0">
      <alignment horizontal="center" wrapText="1"/>
    </xf>
    <xf numFmtId="0" fontId="2" fillId="0" borderId="29" applyAlignment="1" pivotButton="0" quotePrefix="0" xfId="0">
      <alignment vertical="center" wrapText="1"/>
    </xf>
    <xf numFmtId="0" fontId="3" fillId="7" borderId="29" applyAlignment="1" pivotButton="0" quotePrefix="0" xfId="0">
      <alignment horizontal="center" wrapText="1"/>
    </xf>
    <xf numFmtId="0" fontId="2" fillId="0" borderId="31" applyAlignment="1" pivotButton="0" quotePrefix="0" xfId="0">
      <alignment wrapText="1"/>
    </xf>
    <xf numFmtId="0" fontId="2" fillId="0" borderId="30" applyAlignment="1" pivotButton="0" quotePrefix="0" xfId="0">
      <alignment wrapText="1"/>
    </xf>
    <xf numFmtId="0" fontId="3" fillId="0" borderId="36" applyAlignment="1" pivotButton="0" quotePrefix="0" xfId="0">
      <alignment wrapText="1"/>
    </xf>
    <xf numFmtId="0" fontId="3" fillId="0" borderId="36" applyAlignment="1" pivotButton="0" quotePrefix="0" xfId="0">
      <alignment horizontal="center" wrapText="1"/>
    </xf>
    <xf numFmtId="0" fontId="3" fillId="0" borderId="3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wrapText="1"/>
    </xf>
    <xf numFmtId="0" fontId="10" fillId="3" borderId="10" applyAlignment="1" pivotButton="0" quotePrefix="0" xfId="0">
      <alignment horizontal="center" wrapText="1"/>
    </xf>
    <xf numFmtId="0" fontId="11" fillId="3" borderId="34" applyAlignment="1" pivotButton="0" quotePrefix="0" xfId="0">
      <alignment horizontal="center" wrapText="1"/>
    </xf>
    <xf numFmtId="0" fontId="11" fillId="3" borderId="8" applyAlignment="1" pivotButton="0" quotePrefix="0" xfId="0">
      <alignment horizontal="center" wrapText="1"/>
    </xf>
    <xf numFmtId="0" fontId="11" fillId="0" borderId="8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3" fillId="0" borderId="7" applyAlignment="1" pivotButton="0" quotePrefix="0" xfId="0">
      <alignment horizontal="right" vertical="center"/>
    </xf>
    <xf numFmtId="0" fontId="2" fillId="0" borderId="7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 wrapText="1"/>
    </xf>
    <xf numFmtId="0" fontId="7" fillId="0" borderId="29" applyAlignment="1" pivotButton="0" quotePrefix="0" xfId="0">
      <alignment horizontal="center" textRotation="90" wrapText="1"/>
    </xf>
    <xf numFmtId="9" fontId="0" fillId="0" borderId="0" pivotButton="0" quotePrefix="0" xfId="0"/>
    <xf numFmtId="9" fontId="2" fillId="0" borderId="1" applyAlignment="1" pivotButton="0" quotePrefix="0" xfId="0">
      <alignment wrapText="1"/>
    </xf>
    <xf numFmtId="0" fontId="8" fillId="4" borderId="33" applyAlignment="1" pivotButton="0" quotePrefix="0" xfId="0">
      <alignment horizontal="right"/>
    </xf>
    <xf numFmtId="0" fontId="2" fillId="0" borderId="29" applyAlignment="1" pivotButton="0" quotePrefix="0" xfId="0">
      <alignment horizontal="center" wrapText="1"/>
    </xf>
    <xf numFmtId="0" fontId="2" fillId="3" borderId="29" applyAlignment="1" pivotButton="0" quotePrefix="0" xfId="0">
      <alignment horizontal="center" wrapText="1"/>
    </xf>
    <xf numFmtId="0" fontId="12" fillId="7" borderId="1" applyAlignment="1" pivotButton="0" quotePrefix="0" xfId="0">
      <alignment wrapText="1"/>
    </xf>
    <xf numFmtId="0" fontId="13" fillId="0" borderId="0" pivotButton="0" quotePrefix="0" xfId="0"/>
    <xf numFmtId="0" fontId="8" fillId="2" borderId="20" applyAlignment="1" pivotButton="0" quotePrefix="0" xfId="0">
      <alignment wrapText="1"/>
    </xf>
    <xf numFmtId="0" fontId="8" fillId="2" borderId="21" applyAlignment="1" pivotButton="0" quotePrefix="0" xfId="0">
      <alignment wrapText="1"/>
    </xf>
    <xf numFmtId="0" fontId="8" fillId="2" borderId="22" applyAlignment="1" pivotButton="0" quotePrefix="0" xfId="0">
      <alignment wrapText="1"/>
    </xf>
    <xf numFmtId="0" fontId="7" fillId="0" borderId="16" applyAlignment="1" pivotButton="0" quotePrefix="0" xfId="0">
      <alignment horizontal="center" wrapText="1"/>
    </xf>
    <xf numFmtId="0" fontId="7" fillId="0" borderId="17" applyAlignment="1" pivotButton="0" quotePrefix="0" xfId="0">
      <alignment horizontal="center" wrapText="1"/>
    </xf>
    <xf numFmtId="0" fontId="7" fillId="0" borderId="18" applyAlignment="1" pivotButton="0" quotePrefix="0" xfId="0">
      <alignment horizontal="center" wrapText="1"/>
    </xf>
    <xf numFmtId="0" fontId="4" fillId="0" borderId="3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5" fillId="0" borderId="13" applyAlignment="1" pivotButton="0" quotePrefix="0" xfId="0">
      <alignment wrapText="1"/>
    </xf>
    <xf numFmtId="0" fontId="5" fillId="0" borderId="14" applyAlignment="1" pivotButton="0" quotePrefix="0" xfId="0">
      <alignment wrapText="1"/>
    </xf>
    <xf numFmtId="0" fontId="5" fillId="0" borderId="15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2" fillId="0" borderId="14" applyAlignment="1" pivotButton="0" quotePrefix="0" xfId="0">
      <alignment wrapText="1"/>
    </xf>
    <xf numFmtId="0" fontId="2" fillId="0" borderId="15" applyAlignment="1" pivotButton="0" quotePrefix="0" xfId="0">
      <alignment wrapText="1"/>
    </xf>
    <xf numFmtId="0" fontId="7" fillId="0" borderId="16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wrapText="1"/>
    </xf>
    <xf numFmtId="0" fontId="2" fillId="6" borderId="16" applyAlignment="1" pivotButton="0" quotePrefix="0" xfId="0">
      <alignment vertical="top" wrapText="1"/>
    </xf>
    <xf numFmtId="0" fontId="2" fillId="6" borderId="17" applyAlignment="1" pivotButton="0" quotePrefix="0" xfId="0">
      <alignment vertical="top" wrapText="1"/>
    </xf>
    <xf numFmtId="0" fontId="2" fillId="6" borderId="18" applyAlignment="1" pivotButton="0" quotePrefix="0" xfId="0">
      <alignment vertical="top" wrapText="1"/>
    </xf>
    <xf numFmtId="0" fontId="2" fillId="6" borderId="25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6" borderId="12" applyAlignment="1" pivotButton="0" quotePrefix="0" xfId="0">
      <alignment vertical="top" wrapText="1"/>
    </xf>
    <xf numFmtId="0" fontId="2" fillId="6" borderId="19" applyAlignment="1" pivotButton="0" quotePrefix="0" xfId="0">
      <alignment vertical="top" wrapText="1"/>
    </xf>
    <xf numFmtId="0" fontId="2" fillId="6" borderId="9" applyAlignment="1" pivotButton="0" quotePrefix="0" xfId="0">
      <alignment vertical="top" wrapText="1"/>
    </xf>
    <xf numFmtId="0" fontId="2" fillId="6" borderId="10" applyAlignment="1" pivotButton="0" quotePrefix="0" xfId="0">
      <alignment vertical="top" wrapText="1"/>
    </xf>
    <xf numFmtId="0" fontId="7" fillId="0" borderId="26" applyAlignment="1" pivotButton="0" quotePrefix="0" xfId="0">
      <alignment horizontal="center" wrapText="1"/>
    </xf>
    <xf numFmtId="0" fontId="7" fillId="0" borderId="27" applyAlignment="1" pivotButton="0" quotePrefix="0" xfId="0">
      <alignment horizontal="center" wrapText="1"/>
    </xf>
    <xf numFmtId="0" fontId="7" fillId="0" borderId="28" applyAlignment="1" pivotButton="0" quotePrefix="0" xfId="0">
      <alignment horizontal="center" wrapText="1"/>
    </xf>
    <xf numFmtId="0" fontId="3" fillId="0" borderId="23" applyAlignment="1" pivotButton="0" quotePrefix="0" xfId="0">
      <alignment horizontal="right" wrapText="1"/>
    </xf>
    <xf numFmtId="0" fontId="3" fillId="0" borderId="24" applyAlignment="1" pivotButton="0" quotePrefix="0" xfId="0">
      <alignment horizontal="right" wrapText="1"/>
    </xf>
    <xf numFmtId="0" fontId="9" fillId="0" borderId="26" applyAlignment="1" pivotButton="0" quotePrefix="0" xfId="0">
      <alignment horizontal="center" vertical="top" wrapText="1"/>
    </xf>
    <xf numFmtId="0" fontId="9" fillId="0" borderId="28" applyAlignment="1" pivotButton="0" quotePrefix="0" xfId="0">
      <alignment horizontal="center" vertical="top" wrapText="1"/>
    </xf>
    <xf numFmtId="0" fontId="9" fillId="0" borderId="27" applyAlignment="1" pivotButton="0" quotePrefix="0" xfId="0">
      <alignment horizontal="center" vertical="top" wrapText="1"/>
    </xf>
    <xf numFmtId="0" fontId="9" fillId="6" borderId="26" applyAlignment="1" pivotButton="0" quotePrefix="0" xfId="0">
      <alignment horizontal="center" vertical="top" wrapText="1"/>
    </xf>
    <xf numFmtId="0" fontId="9" fillId="6" borderId="28" applyAlignment="1" pivotButton="0" quotePrefix="0" xfId="0">
      <alignment horizontal="center" vertical="top" wrapText="1"/>
    </xf>
    <xf numFmtId="0" fontId="4" fillId="0" borderId="2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5" fillId="0" borderId="49" applyAlignment="1" pivotButton="0" quotePrefix="0" xfId="0">
      <alignment wrapText="1"/>
    </xf>
    <xf numFmtId="0" fontId="0" fillId="0" borderId="14" pivotButton="0" quotePrefix="0" xfId="0"/>
    <xf numFmtId="0" fontId="0" fillId="0" borderId="15" pivotButton="0" quotePrefix="0" xfId="0"/>
    <xf numFmtId="0" fontId="2" fillId="0" borderId="49" applyAlignment="1" pivotButton="0" quotePrefix="0" xfId="0">
      <alignment wrapText="1"/>
    </xf>
    <xf numFmtId="0" fontId="7" fillId="0" borderId="4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2" borderId="43" applyAlignment="1" pivotButton="0" quotePrefix="0" xfId="0">
      <alignment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7" fillId="0" borderId="46" applyAlignment="1" pivotButton="0" quotePrefix="0" xfId="0">
      <alignment horizontal="center" wrapText="1"/>
    </xf>
    <xf numFmtId="0" fontId="0" fillId="0" borderId="39" pivotButton="0" quotePrefix="0" xfId="0"/>
    <xf numFmtId="0" fontId="7" fillId="0" borderId="29" pivotButton="0" quotePrefix="0" xfId="0"/>
    <xf numFmtId="0" fontId="2" fillId="0" borderId="29" pivotButton="0" quotePrefix="0" xfId="0"/>
    <xf numFmtId="0" fontId="2" fillId="4" borderId="33" pivotButton="0" quotePrefix="0" xfId="0"/>
    <xf numFmtId="0" fontId="2" fillId="6" borderId="40" applyAlignment="1" pivotButton="0" quotePrefix="0" xfId="0">
      <alignment vertical="top" wrapText="1"/>
    </xf>
    <xf numFmtId="0" fontId="0" fillId="0" borderId="19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41" applyAlignment="1" pivotButton="0" quotePrefix="0" xfId="0">
      <alignment horizontal="center" wrapText="1"/>
    </xf>
    <xf numFmtId="0" fontId="0" fillId="0" borderId="27" pivotButton="0" quotePrefix="0" xfId="0"/>
    <xf numFmtId="0" fontId="0" fillId="0" borderId="28" pivotButton="0" quotePrefix="0" xfId="0"/>
    <xf numFmtId="0" fontId="3" fillId="0" borderId="40" applyAlignment="1" pivotButton="0" quotePrefix="0" xfId="0">
      <alignment horizontal="right" wrapText="1"/>
    </xf>
    <xf numFmtId="0" fontId="0" fillId="0" borderId="24" pivotButton="0" quotePrefix="0" xfId="0"/>
    <xf numFmtId="0" fontId="9" fillId="0" borderId="41" applyAlignment="1" pivotButton="0" quotePrefix="0" xfId="0">
      <alignment horizontal="center" vertical="top" wrapText="1"/>
    </xf>
    <xf numFmtId="0" fontId="9" fillId="6" borderId="41" applyAlignment="1" pivotButton="0" quotePrefix="0" xfId="0">
      <alignment horizontal="center" vertical="top" wrapText="1"/>
    </xf>
    <xf numFmtId="0" fontId="7" fillId="0" borderId="50" applyAlignment="1" pivotButton="0" quotePrefix="0" xfId="0">
      <alignment horizontal="center" textRotation="90" wrapText="1"/>
    </xf>
    <xf numFmtId="0" fontId="14" fillId="0" borderId="29" pivotButton="0" quotePrefix="0" xfId="0"/>
    <xf numFmtId="0" fontId="7" fillId="0" borderId="39" pivotButton="0" quotePrefix="0" xfId="0"/>
    <xf numFmtId="0" fontId="2" fillId="0" borderId="50" applyAlignment="1" pivotButton="0" quotePrefix="0" xfId="0">
      <alignment wrapText="1"/>
    </xf>
    <xf numFmtId="0" fontId="0" fillId="0" borderId="29" pivotButton="0" quotePrefix="0" xfId="0"/>
    <xf numFmtId="0" fontId="2" fillId="0" borderId="39" pivotButton="0" quotePrefix="0" xfId="0"/>
    <xf numFmtId="0" fontId="3" fillId="0" borderId="50" applyAlignment="1" pivotButton="0" quotePrefix="0" xfId="0">
      <alignment horizontal="center" wrapText="1"/>
    </xf>
    <xf numFmtId="0" fontId="7" fillId="4" borderId="51" applyAlignment="1" pivotButton="0" quotePrefix="0" xfId="0">
      <alignment vertical="center"/>
    </xf>
    <xf numFmtId="0" fontId="2" fillId="4" borderId="52" applyAlignment="1" pivotButton="0" quotePrefix="0" xfId="0">
      <alignment wrapText="1"/>
    </xf>
    <xf numFmtId="0" fontId="8" fillId="4" borderId="53" applyAlignment="1" pivotButton="0" quotePrefix="0" xfId="0">
      <alignment horizontal="right"/>
    </xf>
    <xf numFmtId="0" fontId="7" fillId="4" borderId="29" applyAlignment="1" pivotButton="0" quotePrefix="0" xfId="0">
      <alignment horizontal="right" wrapText="1"/>
    </xf>
    <xf numFmtId="0" fontId="2" fillId="4" borderId="29" applyAlignment="1" pivotButton="0" quotePrefix="0" xfId="0">
      <alignment wrapText="1"/>
    </xf>
    <xf numFmtId="0" fontId="2" fillId="4" borderId="29" pivotButton="0" quotePrefix="0" xfId="0"/>
    <xf numFmtId="0" fontId="7" fillId="4" borderId="12" applyAlignment="1" pivotButton="0" quotePrefix="0" xfId="0">
      <alignment horizontal="center" vertical="center" wrapText="1"/>
    </xf>
    <xf numFmtId="0" fontId="3" fillId="0" borderId="37" applyAlignment="1" pivotButton="0" quotePrefix="0" xfId="0">
      <alignment vertical="center"/>
    </xf>
    <xf numFmtId="0" fontId="2" fillId="0" borderId="37" applyAlignment="1" pivotButton="0" quotePrefix="0" xfId="0">
      <alignment wrapText="1"/>
    </xf>
    <xf numFmtId="0" fontId="0" fillId="0" borderId="37" pivotButton="0" quotePrefix="0" xfId="0"/>
    <xf numFmtId="0" fontId="2" fillId="0" borderId="54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3" fillId="0" borderId="35" applyAlignment="1" pivotButton="0" quotePrefix="0" xfId="0">
      <alignment vertical="center"/>
    </xf>
    <xf numFmtId="0" fontId="2" fillId="0" borderId="55" applyAlignment="1" pivotButton="0" quotePrefix="0" xfId="0">
      <alignment wrapText="1"/>
    </xf>
    <xf numFmtId="0" fontId="2" fillId="6" borderId="56" applyAlignment="1" pivotButton="0" quotePrefix="0" xfId="0">
      <alignment vertical="top" wrapText="1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1"/>
        <color rgb="FFFFFF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E16" sqref="E16"/>
    </sheetView>
  </sheetViews>
  <sheetFormatPr baseColWidth="8" defaultRowHeight="15"/>
  <cols>
    <col width="13.7109375" bestFit="1" customWidth="1" min="1" max="1"/>
  </cols>
  <sheetData>
    <row r="1">
      <c r="A1" t="inlineStr">
        <is>
          <t>Role</t>
        </is>
      </c>
      <c r="B1" t="inlineStr">
        <is>
          <t>Max CH</t>
        </is>
      </c>
    </row>
    <row r="2">
      <c r="A2" t="inlineStr">
        <is>
          <t>Adjunct</t>
        </is>
      </c>
      <c r="B2" t="n">
        <v>13</v>
      </c>
    </row>
    <row r="3">
      <c r="A3" t="inlineStr">
        <is>
          <t>Dean</t>
        </is>
      </c>
      <c r="B3" t="n">
        <v>6</v>
      </c>
    </row>
    <row r="4">
      <c r="A4" t="inlineStr">
        <is>
          <t>Dept Chair</t>
        </is>
      </c>
      <c r="B4" t="n">
        <v>16</v>
      </c>
    </row>
    <row r="5">
      <c r="A5" t="inlineStr">
        <is>
          <t>Faculty</t>
        </is>
      </c>
      <c r="B5" t="n">
        <v>24</v>
      </c>
    </row>
    <row r="6">
      <c r="A6" t="inlineStr">
        <is>
          <t>Labs/Clinicals</t>
        </is>
      </c>
      <c r="B6" t="n">
        <v>24</v>
      </c>
    </row>
    <row r="7">
      <c r="A7" t="inlineStr">
        <is>
          <t>Program Chair</t>
        </is>
      </c>
      <c r="B7" t="n">
        <v>20</v>
      </c>
    </row>
    <row r="8"/>
    <row r="9"/>
    <row r="10"/>
    <row r="11"/>
    <row r="12"/>
    <row r="13">
      <c r="D13" s="49" t="n">
        <v>1</v>
      </c>
    </row>
    <row r="14">
      <c r="D14" s="49" t="n">
        <v>0.75</v>
      </c>
    </row>
    <row r="15">
      <c r="D15" s="49" t="n">
        <v>0.5</v>
      </c>
    </row>
    <row r="16">
      <c r="D16" s="49" t="n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9966"/>
    <outlinePr summaryBelow="1" summaryRight="1"/>
    <pageSetUpPr/>
  </sheetPr>
  <dimension ref="A1:AR35"/>
  <sheetViews>
    <sheetView tabSelected="1" zoomScale="70" zoomScaleNormal="70" workbookViewId="0">
      <selection activeCell="V39" sqref="V39"/>
    </sheetView>
  </sheetViews>
  <sheetFormatPr baseColWidth="8" defaultRowHeight="15"/>
  <cols>
    <col width="23.42578125" customWidth="1" min="4" max="4"/>
    <col width="7.28515625" bestFit="1" customWidth="1" min="5" max="5"/>
    <col width="22.7109375" bestFit="1" customWidth="1" min="6" max="6"/>
    <col width="17.28515625" customWidth="1" min="7" max="7"/>
    <col width="10" customWidth="1" min="10" max="10"/>
    <col width="7.7109375" customWidth="1" min="11" max="11"/>
    <col width="13" customWidth="1" min="12" max="12"/>
    <col width="13" customWidth="1" min="13" max="13"/>
    <col width="13" customWidth="1" min="14" max="14"/>
    <col width="13" customWidth="1" min="15" max="15"/>
    <col width="8.85546875" customWidth="1" min="16" max="16"/>
    <col width="11.7109375" bestFit="1" customWidth="1" min="17" max="17"/>
    <col width="7.5703125" customWidth="1" min="18" max="18"/>
    <col width="27.85546875" customWidth="1" min="19" max="19"/>
    <col width="19.140625" bestFit="1" customWidth="1" min="23" max="23"/>
    <col width="10.85546875" bestFit="1" customWidth="1" min="25" max="25"/>
    <col width="15.85546875" customWidth="1" min="26" max="26"/>
    <col width="15" customWidth="1" min="34" max="34"/>
    <col width="15" customWidth="1" min="35" max="35"/>
    <col width="15" customWidth="1" min="36" max="36"/>
    <col width="17" customWidth="1" min="37" max="37"/>
  </cols>
  <sheetData>
    <row r="1" ht="19.5" customHeight="1" thickBot="1">
      <c r="A1" s="1" t="inlineStr">
        <is>
          <t>Faculty Semester Loading Form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Semester:</t>
        </is>
      </c>
      <c r="K1" s="97" t="n"/>
      <c r="L1" s="98" t="n"/>
      <c r="M1" s="98" t="n"/>
      <c r="N1" s="98" t="n"/>
      <c r="O1" s="98" t="n"/>
      <c r="P1" s="98" t="n"/>
      <c r="Q1" s="99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54">
        <f>VALUE(SUBSTITUTE(U23,"%",""))/100</f>
        <v/>
      </c>
      <c r="AD1" s="2" t="n"/>
      <c r="AE1" s="2" t="n"/>
      <c r="AF1" s="2" t="n"/>
      <c r="AG1" s="2" t="n"/>
      <c r="AH1" s="2" t="n"/>
      <c r="AL1" s="2" t="n"/>
      <c r="AM1" s="2" t="n"/>
      <c r="AN1" s="2" t="n"/>
      <c r="AO1" s="2" t="n"/>
      <c r="AP1" s="2" t="n"/>
      <c r="AQ1" s="2" t="n"/>
      <c r="AR1" s="2" t="n"/>
    </row>
    <row r="2" ht="16.5" customHeight="1" thickBot="1">
      <c r="A2" s="3" t="inlineStr">
        <is>
          <t>Please list each course you will be teaching and individual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inlineStr">
        <is>
          <t>Instructor:</t>
        </is>
      </c>
      <c r="K2" s="100" t="n"/>
      <c r="L2" s="101" t="n"/>
      <c r="M2" s="101" t="n"/>
      <c r="N2" s="101" t="n"/>
      <c r="O2" s="101" t="n"/>
      <c r="P2" s="101" t="n"/>
      <c r="Q2" s="10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L2" s="2" t="n"/>
      <c r="AM2" s="2" t="n"/>
      <c r="AN2" s="2" t="n"/>
      <c r="AO2" s="2" t="n"/>
      <c r="AP2" s="2" t="n"/>
      <c r="AQ2" s="2" t="n"/>
      <c r="AR2" s="2" t="n"/>
    </row>
    <row r="3" ht="15.75" customHeight="1" thickBot="1">
      <c r="A3" s="4" t="inlineStr">
        <is>
          <t>credit or contact hours per week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103" t="n"/>
      <c r="L3" s="101" t="n"/>
      <c r="M3" s="101" t="n"/>
      <c r="N3" s="101" t="n"/>
      <c r="O3" s="101" t="n"/>
      <c r="P3" s="101" t="n"/>
      <c r="Q3" s="10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L3" s="2" t="n"/>
      <c r="AM3" s="2" t="n"/>
      <c r="AN3" s="2" t="n"/>
      <c r="AO3" s="2" t="n"/>
      <c r="AP3" s="2" t="n"/>
      <c r="AQ3" s="2" t="n"/>
      <c r="AR3" s="2" t="n"/>
    </row>
    <row r="4" ht="16.5" customHeight="1" thickBo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5" t="inlineStr">
        <is>
          <t>Role:</t>
        </is>
      </c>
      <c r="K4" s="100" t="n"/>
      <c r="L4" s="101" t="n"/>
      <c r="M4" s="101" t="n"/>
      <c r="N4" s="101" t="n"/>
      <c r="O4" s="101" t="n"/>
      <c r="P4" s="101" t="n"/>
      <c r="Q4" s="102" t="n"/>
      <c r="R4" s="43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L4" s="2" t="n"/>
      <c r="AM4" s="2" t="n"/>
      <c r="AN4" s="2" t="n"/>
      <c r="AO4" s="2" t="n"/>
      <c r="AP4" s="2" t="n"/>
      <c r="AQ4" s="2" t="n"/>
      <c r="AR4" s="2" t="n"/>
    </row>
    <row r="5" ht="15.75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6" t="n"/>
      <c r="J5" s="6" t="n"/>
      <c r="K5" s="6" t="n"/>
      <c r="O5" s="6" t="n"/>
      <c r="P5" s="2" t="n"/>
      <c r="Q5" s="2" t="n"/>
      <c r="R5" s="2" t="n"/>
      <c r="S5" s="2" t="n"/>
      <c r="T5" s="2" t="n"/>
      <c r="U5" s="2" t="n"/>
      <c r="V5" s="2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2" t="n"/>
      <c r="AH5" s="2" t="n"/>
      <c r="AL5" s="2" t="n"/>
      <c r="AM5" s="2" t="n"/>
      <c r="AN5" s="2" t="n"/>
      <c r="AO5" s="2" t="n"/>
      <c r="AP5" s="2" t="n"/>
      <c r="AQ5" s="2" t="n"/>
      <c r="AR5" s="2" t="n"/>
    </row>
    <row r="6" ht="16.5" customHeight="1" thickBot="1" thickTop="1">
      <c r="A6" s="2" t="n"/>
      <c r="B6" s="2" t="n"/>
      <c r="C6" s="2" t="n"/>
      <c r="D6" s="2" t="n"/>
      <c r="E6" s="2" t="n"/>
      <c r="F6" s="2" t="n"/>
      <c r="G6" s="2" t="n"/>
      <c r="H6" s="8" t="n"/>
      <c r="I6" s="104" t="inlineStr">
        <is>
          <t>Faculty Contract Hours From COR</t>
        </is>
      </c>
      <c r="J6" s="105" t="n"/>
      <c r="K6" s="105" t="n"/>
      <c r="L6" s="105" t="n"/>
      <c r="M6" s="105" t="n"/>
      <c r="N6" s="105" t="n"/>
      <c r="O6" s="106" t="n"/>
      <c r="P6" s="2" t="n"/>
      <c r="Q6" s="2" t="n"/>
      <c r="R6" s="6" t="n"/>
      <c r="S6" s="6" t="n"/>
      <c r="T6" s="6" t="n"/>
      <c r="U6" s="6" t="n"/>
      <c r="V6" s="9" t="n"/>
      <c r="W6" s="107" t="inlineStr">
        <is>
          <t>OVERLOADS - PLEASE CHECK FOR ACCURACY</t>
        </is>
      </c>
      <c r="X6" s="108" t="n"/>
      <c r="Y6" s="108" t="n"/>
      <c r="Z6" s="108" t="n"/>
      <c r="AA6" s="108" t="n"/>
      <c r="AB6" s="108" t="n"/>
      <c r="AC6" s="108" t="n"/>
      <c r="AD6" s="108" t="n"/>
      <c r="AE6" s="108" t="n"/>
      <c r="AF6" s="109" t="n"/>
      <c r="AG6" s="2" t="n"/>
      <c r="AH6" s="2" t="n"/>
      <c r="AL6" s="2" t="n"/>
      <c r="AM6" s="2" t="n"/>
      <c r="AN6" s="2" t="n"/>
      <c r="AO6" s="2" t="n"/>
      <c r="AP6" s="2" t="n"/>
      <c r="AQ6" s="2" t="n"/>
      <c r="AR6" s="2" t="n"/>
    </row>
    <row r="7">
      <c r="A7" s="33" t="n"/>
      <c r="B7" s="33" t="n"/>
      <c r="C7" s="33" t="n"/>
      <c r="D7" s="33" t="n"/>
      <c r="E7" s="33" t="n"/>
      <c r="F7" s="33" t="n"/>
      <c r="G7" s="33" t="n"/>
      <c r="H7" s="34" t="n"/>
      <c r="I7" s="110" t="n"/>
      <c r="O7" s="111" t="n"/>
      <c r="P7" s="33" t="n"/>
      <c r="Q7" s="34" t="n"/>
      <c r="R7" s="112" t="inlineStr">
        <is>
          <t>Weekly Contact Hour Load</t>
        </is>
      </c>
      <c r="S7" s="105" t="n"/>
      <c r="T7" s="105" t="n"/>
      <c r="U7" s="106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L7" s="33" t="n"/>
      <c r="AM7" s="33" t="n"/>
      <c r="AN7" s="33" t="n"/>
      <c r="AO7" s="33" t="n"/>
      <c r="AP7" s="33" t="n"/>
      <c r="AQ7" s="33" t="n"/>
      <c r="AR7" s="33" t="n"/>
    </row>
    <row r="8" ht="74.25" customHeight="1">
      <c r="A8" s="77" t="inlineStr">
        <is>
          <t>Course</t>
        </is>
      </c>
      <c r="B8" s="113" t="n"/>
      <c r="C8" s="77" t="inlineStr">
        <is>
          <t>CRN</t>
        </is>
      </c>
      <c r="D8" s="77" t="inlineStr">
        <is>
          <t>Course Title/ Academic Activity</t>
        </is>
      </c>
      <c r="E8" s="48" t="inlineStr">
        <is>
          <t>Campus</t>
        </is>
      </c>
      <c r="F8" s="48" t="inlineStr">
        <is>
          <t>Part of Term</t>
        </is>
      </c>
      <c r="G8" s="48" t="inlineStr">
        <is>
          <t>Modality</t>
        </is>
      </c>
      <c r="H8" s="48" t="inlineStr">
        <is>
          <t>Headcount</t>
        </is>
      </c>
      <c r="I8" s="48" t="inlineStr">
        <is>
          <t>Credit Hours</t>
        </is>
      </c>
      <c r="J8" s="48" t="inlineStr">
        <is>
          <t>Lecture</t>
        </is>
      </c>
      <c r="K8" s="128" t="inlineStr">
        <is>
          <t>Lab</t>
        </is>
      </c>
      <c r="L8" s="129" t="inlineStr">
        <is>
          <t>Clinical</t>
        </is>
      </c>
      <c r="M8" s="129" t="inlineStr">
        <is>
          <t>Externships</t>
        </is>
      </c>
      <c r="N8" s="129" t="inlineStr">
        <is>
          <t>Simulations</t>
        </is>
      </c>
      <c r="O8" s="130" t="inlineStr">
        <is>
          <t>Academic Success</t>
        </is>
      </c>
      <c r="P8" s="48" t="inlineStr">
        <is>
          <t>Is this an overload? 
(Yes or No)</t>
        </is>
      </c>
      <c r="Q8" s="48" t="inlineStr">
        <is>
          <t>% of Contact Hours Applied to Contract</t>
        </is>
      </c>
      <c r="R8" s="48" t="inlineStr">
        <is>
          <t>Lecture and Lab Contact Hours</t>
        </is>
      </c>
      <c r="S8" s="48" t="inlineStr">
        <is>
          <t>Practicum and Clinical Hours</t>
        </is>
      </c>
      <c r="T8" s="48" t="inlineStr">
        <is>
          <t>Other Hours</t>
        </is>
      </c>
      <c r="U8" s="48" t="inlineStr">
        <is>
          <t>Total Contact Hours</t>
        </is>
      </c>
      <c r="V8" s="48" t="inlineStr">
        <is>
          <t>Total Semester Contact Hours</t>
        </is>
      </c>
      <c r="W8" s="77" t="inlineStr">
        <is>
          <t>Course</t>
        </is>
      </c>
      <c r="X8" s="113" t="n"/>
      <c r="Y8" s="77" t="inlineStr">
        <is>
          <t>CRN</t>
        </is>
      </c>
      <c r="Z8" s="77" t="inlineStr">
        <is>
          <t>Course Title/ Academic Activity</t>
        </is>
      </c>
      <c r="AA8" s="77" t="inlineStr">
        <is>
          <t>Campus</t>
        </is>
      </c>
      <c r="AB8" s="77" t="inlineStr">
        <is>
          <t>Part of Term</t>
        </is>
      </c>
      <c r="AC8" s="77" t="inlineStr">
        <is>
          <t>Modality</t>
        </is>
      </c>
      <c r="AD8" s="77" t="inlineStr">
        <is>
          <t>Course Size</t>
        </is>
      </c>
      <c r="AE8" s="77" t="inlineStr">
        <is>
          <t>Credit Hours</t>
        </is>
      </c>
      <c r="AF8" s="77" t="inlineStr">
        <is>
          <t>Lecture Contact Hours</t>
        </is>
      </c>
      <c r="AG8" s="77" t="inlineStr">
        <is>
          <t>Lab Contact Hours</t>
        </is>
      </c>
      <c r="AH8" s="77" t="inlineStr">
        <is>
          <t>Clinical</t>
        </is>
      </c>
      <c r="AI8" s="77" t="inlineStr">
        <is>
          <t>Externships</t>
        </is>
      </c>
      <c r="AJ8" s="77" t="inlineStr">
        <is>
          <t>Simulations</t>
        </is>
      </c>
      <c r="AK8" s="77" t="inlineStr">
        <is>
          <t>Academic Success</t>
        </is>
      </c>
      <c r="AL8" s="77" t="inlineStr">
        <is>
          <t>Is this an overload? 
(Yes or No)</t>
        </is>
      </c>
      <c r="AM8" s="77" t="inlineStr">
        <is>
          <t>% of Contact Hours Applied to Contract</t>
        </is>
      </c>
      <c r="AN8" s="77" t="inlineStr">
        <is>
          <t>Lecture and Lab Contact Hours</t>
        </is>
      </c>
      <c r="AO8" s="77" t="inlineStr">
        <is>
          <t>Practicum and Clinical Hours</t>
        </is>
      </c>
      <c r="AP8" s="77" t="inlineStr">
        <is>
          <t>Other Hours</t>
        </is>
      </c>
      <c r="AQ8" s="77" t="inlineStr">
        <is>
          <t>Total Contact Hours</t>
        </is>
      </c>
      <c r="AR8" s="77" t="inlineStr">
        <is>
          <t>Total Semester Contact Hours</t>
        </is>
      </c>
    </row>
    <row r="9" ht="15.75" customHeight="1" thickBot="1">
      <c r="A9" s="35" t="n"/>
      <c r="B9" s="29" t="n"/>
      <c r="C9" s="36" t="n"/>
      <c r="D9" s="36" t="n"/>
      <c r="E9" s="36" t="n"/>
      <c r="F9" s="36" t="n"/>
      <c r="G9" s="36" t="n"/>
      <c r="H9" s="36" t="n"/>
      <c r="I9" s="36" t="n"/>
      <c r="J9" s="36" t="n"/>
      <c r="K9" s="131" t="n"/>
      <c r="L9" s="132" t="n"/>
      <c r="M9" s="132" t="n"/>
      <c r="N9" s="132" t="n"/>
      <c r="O9" s="133" t="n"/>
      <c r="P9" s="52" t="n"/>
      <c r="Q9" s="36" t="n"/>
      <c r="R9" s="37" t="n"/>
      <c r="S9" s="29" t="n"/>
      <c r="T9" s="29" t="n"/>
      <c r="U9" s="37" t="n"/>
      <c r="V9" s="36">
        <f>IFERROR(U9*16,"")</f>
        <v/>
      </c>
      <c r="W9" s="39">
        <f>IF(OR(LEFT(P9,1)="Y",LEFT(P9,1)="y"),A9,"")</f>
        <v/>
      </c>
      <c r="X9" s="40" t="n"/>
      <c r="Y9" s="40">
        <f>IF(OR(LEFT(P9,1)="Y",LEFT(P9,1)="y"),C9,"")</f>
        <v/>
      </c>
      <c r="Z9" s="40">
        <f>IF(OR(LEFT(P9,1)="Y",LEFT(P9,1)="y"),D9,"")</f>
        <v/>
      </c>
      <c r="AA9" s="40">
        <f>IF(OR(LEFT($P9,1)="Y",LEFT($P9,1)="y"),E9,"")</f>
        <v/>
      </c>
      <c r="AB9" s="40">
        <f>IF(OR(LEFT($P9,1)="Y",LEFT($P9,1)="y"),F9,"")</f>
        <v/>
      </c>
      <c r="AC9" s="40">
        <f>IF(OR(LEFT($P9,1)="Y",LEFT($P9,1)="y"),G9,"")</f>
        <v/>
      </c>
      <c r="AD9" s="40">
        <f>IF(OR(LEFT($P9,1)="Y",LEFT($P9,1)="y"),H9,"")</f>
        <v/>
      </c>
      <c r="AE9" s="40">
        <f>IF(OR(LEFT($P9,1)="Y",LEFT($P9,1)="y"),I9,"")</f>
        <v/>
      </c>
      <c r="AF9" s="40">
        <f>IF(OR(LEFT($P9,1)="Y",LEFT($P9,1)="y"),J9,"")</f>
        <v/>
      </c>
      <c r="AG9" s="40">
        <f>IF(OR(LEFT($P9,1)="Y",LEFT($P9,1)="y"),K9,"")</f>
        <v/>
      </c>
      <c r="AH9" s="40">
        <f>IF(OR(LEFT(P9,1)="Y",LEFT(P9,1)="y"),L9,"")</f>
        <v/>
      </c>
      <c r="AI9" s="40">
        <f>IF(OR(LEFT(P9,1)="Y",LEFT(P9,1)="y"),M9,"")</f>
        <v/>
      </c>
      <c r="AJ9" s="40">
        <f>IF(OR(LEFT(P9,1)="Y",LEFT(P9,1)="y"),N9,"")</f>
        <v/>
      </c>
      <c r="AK9" s="40">
        <f>IF(OR(LEFT(P9,1)="Y",LEFT(P9,1)="y"),O9,"")</f>
        <v/>
      </c>
      <c r="AL9" s="40">
        <f>IF(OR(LEFT($P9,1)="Y",LEFT($P9,1)="y"),P9,"")</f>
        <v/>
      </c>
      <c r="AM9" s="40">
        <f>IF(OR(LEFT($P9,1)="Y",LEFT($P9,1)="y"),Q9,"")</f>
        <v/>
      </c>
      <c r="AN9" s="40">
        <f>IF(OR(LEFT($P9,1)="Y",LEFT($P9,1)="y"),R9,"")</f>
        <v/>
      </c>
      <c r="AO9" s="40">
        <f>IF(OR(LEFT($P9,1)="Y",LEFT($P9,1)="y"),S9,"")</f>
        <v/>
      </c>
      <c r="AP9" s="40">
        <f>IF(OR(LEFT($P9,1)="Y",LEFT($P9,1)="y"),T9,"")</f>
        <v/>
      </c>
      <c r="AQ9" s="40">
        <f>IF(OR(LEFT($P9,1)="Y",LEFT($P9,1)="y"),U9,"")</f>
        <v/>
      </c>
      <c r="AR9" s="40">
        <f>IF(OR(LEFT($P9,1)="Y",LEFT($P9,1)="y"),V9,"")</f>
        <v/>
      </c>
    </row>
    <row r="10" ht="15.75" customHeight="1" thickBot="1">
      <c r="A10" s="35" t="n"/>
      <c r="B10" s="29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131" t="n"/>
      <c r="L10" s="132" t="n"/>
      <c r="M10" s="132" t="n"/>
      <c r="N10" s="132" t="n"/>
      <c r="O10" s="133" t="n"/>
      <c r="P10" s="52" t="n"/>
      <c r="Q10" s="36" t="n"/>
      <c r="R10" s="37" t="n"/>
      <c r="S10" s="29" t="n"/>
      <c r="T10" s="29" t="n"/>
      <c r="U10" s="37" t="n"/>
      <c r="V10" s="36">
        <f>IFERROR(U10*16,"")</f>
        <v/>
      </c>
      <c r="W10" s="39">
        <f>IF(OR(LEFT(P10,1)="Y",LEFT(P10,1)="y"),A10,"")</f>
        <v/>
      </c>
      <c r="X10" s="41" t="n"/>
      <c r="Y10" s="40">
        <f>IF(OR(LEFT(P10,1)="Y",LEFT(P10,1)="y"),C10,"")</f>
        <v/>
      </c>
      <c r="Z10" s="40">
        <f>IF(OR(LEFT(P10,1)="Y",LEFT(P10,1)="y"),D10,"")</f>
        <v/>
      </c>
      <c r="AA10" s="40">
        <f>IF(OR(LEFT($P10,1)="Y",LEFT($P10,1)="y"),E10,"")</f>
        <v/>
      </c>
      <c r="AB10" s="40">
        <f>IF(OR(LEFT($P10,1)="Y",LEFT($P10,1)="y"),F10,"")</f>
        <v/>
      </c>
      <c r="AC10" s="40">
        <f>IF(OR(LEFT($P10,1)="Y",LEFT($P10,1)="y"),G10,"")</f>
        <v/>
      </c>
      <c r="AD10" s="40">
        <f>IF(OR(LEFT($P10,1)="Y",LEFT($P10,1)="y"),H10,"")</f>
        <v/>
      </c>
      <c r="AE10" s="40">
        <f>IF(OR(LEFT($P10,1)="Y",LEFT($P10,1)="y"),I10,"")</f>
        <v/>
      </c>
      <c r="AF10" s="40">
        <f>IF(OR(LEFT($P10,1)="Y",LEFT($P10,1)="y"),J10,"")</f>
        <v/>
      </c>
      <c r="AG10" s="40">
        <f>IF(OR(LEFT($P10,1)="Y",LEFT($P10,1)="y"),K10,"")</f>
        <v/>
      </c>
      <c r="AH10" s="40">
        <f>IF(OR(LEFT(P10,1)="Y",LEFT(P10,1)="y"),L10,"")</f>
        <v/>
      </c>
      <c r="AI10" s="40">
        <f>IF(OR(LEFT(P10,1)="Y",LEFT(P10,1)="y"),M10,"")</f>
        <v/>
      </c>
      <c r="AJ10" s="40">
        <f>IF(OR(LEFT(P10,1)="Y",LEFT(P10,1)="y"),N10,"")</f>
        <v/>
      </c>
      <c r="AK10" s="40">
        <f>IF(OR(LEFT(P10,1)="Y",LEFT(P10,1)="y"),O10,"")</f>
        <v/>
      </c>
      <c r="AL10" s="40">
        <f>IF(OR(LEFT($P10,1)="Y",LEFT($P10,1)="y"),P10,"")</f>
        <v/>
      </c>
      <c r="AM10" s="40">
        <f>IF(OR(LEFT($P10,1)="Y",LEFT($P10,1)="y"),Q10,"")</f>
        <v/>
      </c>
      <c r="AN10" s="40">
        <f>IF(OR(LEFT($P10,1)="Y",LEFT($P10,1)="y"),R10,"")</f>
        <v/>
      </c>
      <c r="AO10" s="40">
        <f>IF(OR(LEFT($P10,1)="Y",LEFT($P10,1)="y"),S10,"")</f>
        <v/>
      </c>
      <c r="AP10" s="40">
        <f>IF(OR(LEFT($P10,1)="Y",LEFT($P10,1)="y"),T10,"")</f>
        <v/>
      </c>
      <c r="AQ10" s="40">
        <f>IF(OR(LEFT($P10,1)="Y",LEFT($P10,1)="y"),U10,"")</f>
        <v/>
      </c>
      <c r="AR10" s="40">
        <f>IF(OR(LEFT($P10,1)="Y",LEFT($P10,1)="y"),V10,"")</f>
        <v/>
      </c>
    </row>
    <row r="11" ht="15.75" customHeight="1" thickBot="1">
      <c r="A11" s="35" t="n"/>
      <c r="B11" s="29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131" t="n"/>
      <c r="L11" s="132" t="n"/>
      <c r="M11" s="132" t="n"/>
      <c r="N11" s="132" t="n"/>
      <c r="O11" s="133" t="n"/>
      <c r="P11" s="52" t="n"/>
      <c r="Q11" s="36" t="n"/>
      <c r="R11" s="37" t="n"/>
      <c r="S11" s="29" t="n"/>
      <c r="T11" s="29" t="n"/>
      <c r="U11" s="37" t="n"/>
      <c r="V11" s="36">
        <f>IFERROR(U11*16,"")</f>
        <v/>
      </c>
      <c r="W11" s="39">
        <f>IF(OR(LEFT(P11,1)="Y",LEFT(P11,1)="y"),A11,"")</f>
        <v/>
      </c>
      <c r="X11" s="41" t="n"/>
      <c r="Y11" s="40">
        <f>IF(OR(LEFT(P11,1)="Y",LEFT(P11,1)="y"),C11,"")</f>
        <v/>
      </c>
      <c r="Z11" s="40">
        <f>IF(OR(LEFT(P11,1)="Y",LEFT(P11,1)="y"),D11,"")</f>
        <v/>
      </c>
      <c r="AA11" s="40">
        <f>IF(OR(LEFT($P11,1)="Y",LEFT($P11,1)="y"),E11,"")</f>
        <v/>
      </c>
      <c r="AB11" s="40">
        <f>IF(OR(LEFT($P11,1)="Y",LEFT($P11,1)="y"),F11,"")</f>
        <v/>
      </c>
      <c r="AC11" s="40">
        <f>IF(OR(LEFT($P11,1)="Y",LEFT($P11,1)="y"),G11,"")</f>
        <v/>
      </c>
      <c r="AD11" s="40">
        <f>IF(OR(LEFT($P11,1)="Y",LEFT($P11,1)="y"),H11,"")</f>
        <v/>
      </c>
      <c r="AE11" s="40">
        <f>IF(OR(LEFT($P11,1)="Y",LEFT($P11,1)="y"),I11,"")</f>
        <v/>
      </c>
      <c r="AF11" s="40">
        <f>IF(OR(LEFT($P11,1)="Y",LEFT($P11,1)="y"),J11,"")</f>
        <v/>
      </c>
      <c r="AG11" s="40">
        <f>IF(OR(LEFT($P11,1)="Y",LEFT($P11,1)="y"),K11,"")</f>
        <v/>
      </c>
      <c r="AH11" s="40">
        <f>IF(OR(LEFT(P11,1)="Y",LEFT(P11,1)="y"),L11,"")</f>
        <v/>
      </c>
      <c r="AI11" s="40">
        <f>IF(OR(LEFT(P11,1)="Y",LEFT(P11,1)="y"),M11,"")</f>
        <v/>
      </c>
      <c r="AJ11" s="40">
        <f>IF(OR(LEFT(P11,1)="Y",LEFT(P11,1)="y"),N11,"")</f>
        <v/>
      </c>
      <c r="AK11" s="40">
        <f>IF(OR(LEFT(P11,1)="Y",LEFT(P11,1)="y"),O11,"")</f>
        <v/>
      </c>
      <c r="AL11" s="40">
        <f>IF(OR(LEFT($P11,1)="Y",LEFT($P11,1)="y"),P11,"")</f>
        <v/>
      </c>
      <c r="AM11" s="40">
        <f>IF(OR(LEFT($P11,1)="Y",LEFT($P11,1)="y"),Q11,"")</f>
        <v/>
      </c>
      <c r="AN11" s="40">
        <f>IF(OR(LEFT($P11,1)="Y",LEFT($P11,1)="y"),R11,"")</f>
        <v/>
      </c>
      <c r="AO11" s="40">
        <f>IF(OR(LEFT($P11,1)="Y",LEFT($P11,1)="y"),S11,"")</f>
        <v/>
      </c>
      <c r="AP11" s="40">
        <f>IF(OR(LEFT($P11,1)="Y",LEFT($P11,1)="y"),T11,"")</f>
        <v/>
      </c>
      <c r="AQ11" s="40">
        <f>IF(OR(LEFT($P11,1)="Y",LEFT($P11,1)="y"),U11,"")</f>
        <v/>
      </c>
      <c r="AR11" s="40">
        <f>IF(OR(LEFT($P11,1)="Y",LEFT($P11,1)="y"),V11,"")</f>
        <v/>
      </c>
    </row>
    <row r="12" ht="15.75" customHeight="1" thickBot="1">
      <c r="A12" s="35" t="n"/>
      <c r="B12" s="29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131" t="n"/>
      <c r="L12" s="132" t="n"/>
      <c r="M12" s="132" t="n"/>
      <c r="N12" s="132" t="n"/>
      <c r="O12" s="133" t="n"/>
      <c r="P12" s="52" t="n"/>
      <c r="Q12" s="36" t="n"/>
      <c r="R12" s="37" t="n"/>
      <c r="S12" s="29" t="n"/>
      <c r="T12" s="29" t="n"/>
      <c r="U12" s="37" t="n"/>
      <c r="V12" s="36">
        <f>IFERROR(U12*16,"")</f>
        <v/>
      </c>
      <c r="W12" s="39">
        <f>IF(OR(LEFT(P12,1)="Y",LEFT(P12,1)="y"),A12,"")</f>
        <v/>
      </c>
      <c r="X12" s="41" t="n"/>
      <c r="Y12" s="40">
        <f>IF(OR(LEFT(P12,1)="Y",LEFT(P12,1)="y"),C12,"")</f>
        <v/>
      </c>
      <c r="Z12" s="40">
        <f>IF(OR(LEFT(P12,1)="Y",LEFT(P12,1)="y"),D12,"")</f>
        <v/>
      </c>
      <c r="AA12" s="40">
        <f>IF(OR(LEFT($P12,1)="Y",LEFT($P12,1)="y"),E12,"")</f>
        <v/>
      </c>
      <c r="AB12" s="40">
        <f>IF(OR(LEFT($P12,1)="Y",LEFT($P12,1)="y"),F12,"")</f>
        <v/>
      </c>
      <c r="AC12" s="40">
        <f>IF(OR(LEFT($P12,1)="Y",LEFT($P12,1)="y"),G12,"")</f>
        <v/>
      </c>
      <c r="AD12" s="40">
        <f>IF(OR(LEFT($P12,1)="Y",LEFT($P12,1)="y"),H12,"")</f>
        <v/>
      </c>
      <c r="AE12" s="40">
        <f>IF(OR(LEFT($P12,1)="Y",LEFT($P12,1)="y"),I12,"")</f>
        <v/>
      </c>
      <c r="AF12" s="40">
        <f>IF(OR(LEFT($P12,1)="Y",LEFT($P12,1)="y"),J12,"")</f>
        <v/>
      </c>
      <c r="AG12" s="40">
        <f>IF(OR(LEFT($P12,1)="Y",LEFT($P12,1)="y"),K12,"")</f>
        <v/>
      </c>
      <c r="AH12" s="40">
        <f>IF(OR(LEFT(P12,1)="Y",LEFT(P12,1)="y"),L12,"")</f>
        <v/>
      </c>
      <c r="AI12" s="40">
        <f>IF(OR(LEFT(P12,1)="Y",LEFT(P12,1)="y"),M12,"")</f>
        <v/>
      </c>
      <c r="AJ12" s="40">
        <f>IF(OR(LEFT(P12,1)="Y",LEFT(P12,1)="y"),N12,"")</f>
        <v/>
      </c>
      <c r="AK12" s="40">
        <f>IF(OR(LEFT(P12,1)="Y",LEFT(P12,1)="y"),O12,"")</f>
        <v/>
      </c>
      <c r="AL12" s="40">
        <f>IF(OR(LEFT($P12,1)="Y",LEFT($P12,1)="y"),P12,"")</f>
        <v/>
      </c>
      <c r="AM12" s="40">
        <f>IF(OR(LEFT($P12,1)="Y",LEFT($P12,1)="y"),Q12,"")</f>
        <v/>
      </c>
      <c r="AN12" s="40">
        <f>IF(OR(LEFT($P12,1)="Y",LEFT($P12,1)="y"),R12,"")</f>
        <v/>
      </c>
      <c r="AO12" s="40">
        <f>IF(OR(LEFT($P12,1)="Y",LEFT($P12,1)="y"),S12,"")</f>
        <v/>
      </c>
      <c r="AP12" s="40">
        <f>IF(OR(LEFT($P12,1)="Y",LEFT($P12,1)="y"),T12,"")</f>
        <v/>
      </c>
      <c r="AQ12" s="40">
        <f>IF(OR(LEFT($P12,1)="Y",LEFT($P12,1)="y"),U12,"")</f>
        <v/>
      </c>
      <c r="AR12" s="40">
        <f>IF(OR(LEFT($P12,1)="Y",LEFT($P12,1)="y"),V12,"")</f>
        <v/>
      </c>
    </row>
    <row r="13" ht="16.5" customHeight="1" thickBot="1">
      <c r="A13" s="55" t="n"/>
      <c r="B13" s="29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134" t="n"/>
      <c r="L13" s="132" t="n"/>
      <c r="M13" s="132" t="n"/>
      <c r="N13" s="132" t="n"/>
      <c r="O13" s="133" t="n"/>
      <c r="P13" s="32" t="n"/>
      <c r="Q13" s="36" t="n"/>
      <c r="R13" s="37" t="n"/>
      <c r="S13" s="29" t="n"/>
      <c r="T13" s="29" t="n"/>
      <c r="U13" s="37" t="n"/>
      <c r="V13" s="36">
        <f>IFERROR(U13*16,"")</f>
        <v/>
      </c>
      <c r="W13" s="39">
        <f>IF(OR(LEFT(P13,1)="Y",LEFT(P13,1)="y"),A13,"")</f>
        <v/>
      </c>
      <c r="X13" s="42" t="n"/>
      <c r="Y13" s="40">
        <f>IF(OR(LEFT(P13,1)="Y",LEFT(P13,1)="y"),C13,"")</f>
        <v/>
      </c>
      <c r="Z13" s="40">
        <f>IF(OR(LEFT(P13,1)="Y",LEFT(P13,1)="y"),D13,"")</f>
        <v/>
      </c>
      <c r="AA13" s="40">
        <f>IF(OR(LEFT($P13,1)="Y",LEFT($P13,1)="y"),E13,"")</f>
        <v/>
      </c>
      <c r="AB13" s="40">
        <f>IF(OR(LEFT($P13,1)="Y",LEFT($P13,1)="y"),F13,"")</f>
        <v/>
      </c>
      <c r="AC13" s="40">
        <f>IF(OR(LEFT($P13,1)="Y",LEFT($P13,1)="y"),G13,"")</f>
        <v/>
      </c>
      <c r="AD13" s="40">
        <f>IF(OR(LEFT($P13,1)="Y",LEFT($P13,1)="y"),H13,"")</f>
        <v/>
      </c>
      <c r="AE13" s="40">
        <f>IF(OR(LEFT($P13,1)="Y",LEFT($P13,1)="y"),I13,"")</f>
        <v/>
      </c>
      <c r="AF13" s="40">
        <f>IF(OR(LEFT($P13,1)="Y",LEFT($P13,1)="y"),J13,"")</f>
        <v/>
      </c>
      <c r="AG13" s="40">
        <f>IF(OR(LEFT($P13,1)="Y",LEFT($P13,1)="y"),K13,"")</f>
        <v/>
      </c>
      <c r="AH13" s="40">
        <f>IF(OR(LEFT(P13,1)="Y",LEFT(P13,1)="y"),L13,"")</f>
        <v/>
      </c>
      <c r="AI13" s="40">
        <f>IF(OR(LEFT(P13,1)="Y",LEFT(P13,1)="y"),M13,"")</f>
        <v/>
      </c>
      <c r="AJ13" s="40">
        <f>IF(OR(LEFT(P13,1)="Y",LEFT(P13,1)="y"),N13,"")</f>
        <v/>
      </c>
      <c r="AK13" s="40">
        <f>IF(OR(LEFT(P13,1)="Y",LEFT(P13,1)="y"),O13,"")</f>
        <v/>
      </c>
      <c r="AL13" s="40">
        <f>IF(OR(LEFT($P13,1)="Y",LEFT($P13,1)="y"),P13,"")</f>
        <v/>
      </c>
      <c r="AM13" s="40">
        <f>IF(OR(LEFT($P13,1)="Y",LEFT($P13,1)="y"),Q13,"")</f>
        <v/>
      </c>
      <c r="AN13" s="40">
        <f>IF(OR(LEFT($P13,1)="Y",LEFT($P13,1)="y"),R13,"")</f>
        <v/>
      </c>
      <c r="AO13" s="40">
        <f>IF(OR(LEFT($P13,1)="Y",LEFT($P13,1)="y"),S13,"")</f>
        <v/>
      </c>
      <c r="AP13" s="40">
        <f>IF(OR(LEFT($P13,1)="Y",LEFT($P13,1)="y"),T13,"")</f>
        <v/>
      </c>
      <c r="AQ13" s="40">
        <f>IF(OR(LEFT($P13,1)="Y",LEFT($P13,1)="y"),U13,"")</f>
        <v/>
      </c>
      <c r="AR13" s="40">
        <f>IF(OR(LEFT($P13,1)="Y",LEFT($P13,1)="y"),V13,"")</f>
        <v/>
      </c>
    </row>
    <row r="14" ht="15.75" customHeight="1" thickBot="1">
      <c r="A14" s="35" t="n"/>
      <c r="B14" s="29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131" t="n"/>
      <c r="L14" s="132" t="n"/>
      <c r="M14" s="132" t="n"/>
      <c r="N14" s="132" t="n"/>
      <c r="O14" s="133" t="n"/>
      <c r="P14" s="52" t="n"/>
      <c r="Q14" s="36" t="n"/>
      <c r="R14" s="37" t="n"/>
      <c r="S14" s="29" t="n"/>
      <c r="T14" s="29" t="n"/>
      <c r="U14" s="37" t="n"/>
      <c r="V14" s="36">
        <f>IFERROR(U14*16,"")</f>
        <v/>
      </c>
      <c r="W14" s="39">
        <f>IF(OR(LEFT(P14,1)="Y",LEFT(P14,1)="y"),A14,"")</f>
        <v/>
      </c>
      <c r="X14" s="42" t="n"/>
      <c r="Y14" s="40">
        <f>IF(OR(LEFT(P14,1)="Y",LEFT(P14,1)="y"),C14,"")</f>
        <v/>
      </c>
      <c r="Z14" s="40">
        <f>IF(OR(LEFT(P14,1)="Y",LEFT(P14,1)="y"),D14,"")</f>
        <v/>
      </c>
      <c r="AA14" s="40">
        <f>IF(OR(LEFT($P14,1)="Y",LEFT($P14,1)="y"),E14,"")</f>
        <v/>
      </c>
      <c r="AB14" s="40">
        <f>IF(OR(LEFT($P14,1)="Y",LEFT($P14,1)="y"),F14,"")</f>
        <v/>
      </c>
      <c r="AC14" s="40">
        <f>IF(OR(LEFT($P14,1)="Y",LEFT($P14,1)="y"),G14,"")</f>
        <v/>
      </c>
      <c r="AD14" s="40">
        <f>IF(OR(LEFT($P14,1)="Y",LEFT($P14,1)="y"),H14,"")</f>
        <v/>
      </c>
      <c r="AE14" s="40">
        <f>IF(OR(LEFT($P14,1)="Y",LEFT($P14,1)="y"),I14,"")</f>
        <v/>
      </c>
      <c r="AF14" s="40">
        <f>IF(OR(LEFT($P14,1)="Y",LEFT($P14,1)="y"),J14,"")</f>
        <v/>
      </c>
      <c r="AG14" s="40">
        <f>IF(OR(LEFT($P14,1)="Y",LEFT($P14,1)="y"),K14,"")</f>
        <v/>
      </c>
      <c r="AH14" s="40">
        <f>IF(OR(LEFT(P14,1)="Y",LEFT(P14,1)="y"),L14,"")</f>
        <v/>
      </c>
      <c r="AI14" s="40">
        <f>IF(OR(LEFT(P14,1)="Y",LEFT(P14,1)="y"),M14,"")</f>
        <v/>
      </c>
      <c r="AJ14" s="40">
        <f>IF(OR(LEFT(P14,1)="Y",LEFT(P14,1)="y"),N14,"")</f>
        <v/>
      </c>
      <c r="AK14" s="40">
        <f>IF(OR(LEFT(P14,1)="Y",LEFT(P14,1)="y"),O14,"")</f>
        <v/>
      </c>
      <c r="AL14" s="40">
        <f>IF(OR(LEFT($P14,1)="Y",LEFT($P14,1)="y"),P14,"")</f>
        <v/>
      </c>
      <c r="AM14" s="40">
        <f>IF(OR(LEFT($P14,1)="Y",LEFT($P14,1)="y"),Q14,"")</f>
        <v/>
      </c>
      <c r="AN14" s="40">
        <f>IF(OR(LEFT($P14,1)="Y",LEFT($P14,1)="y"),R14,"")</f>
        <v/>
      </c>
      <c r="AO14" s="40">
        <f>IF(OR(LEFT($P14,1)="Y",LEFT($P14,1)="y"),S14,"")</f>
        <v/>
      </c>
      <c r="AP14" s="40">
        <f>IF(OR(LEFT($P14,1)="Y",LEFT($P14,1)="y"),T14,"")</f>
        <v/>
      </c>
      <c r="AQ14" s="40">
        <f>IF(OR(LEFT($P14,1)="Y",LEFT($P14,1)="y"),U14,"")</f>
        <v/>
      </c>
      <c r="AR14" s="40">
        <f>IF(OR(LEFT($P14,1)="Y",LEFT($P14,1)="y"),V14,"")</f>
        <v/>
      </c>
    </row>
    <row r="15" ht="15.75" customHeight="1" thickBot="1">
      <c r="A15" s="35" t="n"/>
      <c r="B15" s="29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131" t="n"/>
      <c r="L15" s="132" t="n"/>
      <c r="M15" s="132" t="n"/>
      <c r="N15" s="132" t="n"/>
      <c r="O15" s="133" t="n"/>
      <c r="P15" s="52" t="n"/>
      <c r="Q15" s="36" t="n"/>
      <c r="R15" s="37" t="n"/>
      <c r="S15" s="29" t="n"/>
      <c r="T15" s="29" t="n"/>
      <c r="U15" s="37" t="n"/>
      <c r="V15" s="36">
        <f>IFERROR(U15*16,"")</f>
        <v/>
      </c>
      <c r="W15" s="39">
        <f>IF(OR(LEFT(P15,1)="Y",LEFT(P15,1)="y"),A15,"")</f>
        <v/>
      </c>
      <c r="X15" s="41" t="n"/>
      <c r="Y15" s="40">
        <f>IF(OR(LEFT(P15,1)="Y",LEFT(P15,1)="y"),C15,"")</f>
        <v/>
      </c>
      <c r="Z15" s="40">
        <f>IF(OR(LEFT(P15,1)="Y",LEFT(P15,1)="y"),D15,"")</f>
        <v/>
      </c>
      <c r="AA15" s="40">
        <f>IF(OR(LEFT($P15,1)="Y",LEFT($P15,1)="y"),E15,"")</f>
        <v/>
      </c>
      <c r="AB15" s="40">
        <f>IF(OR(LEFT($P15,1)="Y",LEFT($P15,1)="y"),F15,"")</f>
        <v/>
      </c>
      <c r="AC15" s="40">
        <f>IF(OR(LEFT($P15,1)="Y",LEFT($P15,1)="y"),G15,"")</f>
        <v/>
      </c>
      <c r="AD15" s="40">
        <f>IF(OR(LEFT($P15,1)="Y",LEFT($P15,1)="y"),H15,"")</f>
        <v/>
      </c>
      <c r="AE15" s="40">
        <f>IF(OR(LEFT($P15,1)="Y",LEFT($P15,1)="y"),I15,"")</f>
        <v/>
      </c>
      <c r="AF15" s="40">
        <f>IF(OR(LEFT($P15,1)="Y",LEFT($P15,1)="y"),J15,"")</f>
        <v/>
      </c>
      <c r="AG15" s="40">
        <f>IF(OR(LEFT($P15,1)="Y",LEFT($P15,1)="y"),K15,"")</f>
        <v/>
      </c>
      <c r="AH15" s="40">
        <f>IF(OR(LEFT(P15,1)="Y",LEFT(P15,1)="y"),L15,"")</f>
        <v/>
      </c>
      <c r="AI15" s="40">
        <f>IF(OR(LEFT(P15,1)="Y",LEFT(P15,1)="y"),M15,"")</f>
        <v/>
      </c>
      <c r="AJ15" s="40">
        <f>IF(OR(LEFT(P15,1)="Y",LEFT(P15,1)="y"),N15,"")</f>
        <v/>
      </c>
      <c r="AK15" s="40">
        <f>IF(OR(LEFT(P15,1)="Y",LEFT(P15,1)="y"),O15,"")</f>
        <v/>
      </c>
      <c r="AL15" s="40">
        <f>IF(OR(LEFT($P15,1)="Y",LEFT($P15,1)="y"),P15,"")</f>
        <v/>
      </c>
      <c r="AM15" s="40">
        <f>IF(OR(LEFT($P15,1)="Y",LEFT($P15,1)="y"),Q15,"")</f>
        <v/>
      </c>
      <c r="AN15" s="40">
        <f>IF(OR(LEFT($P15,1)="Y",LEFT($P15,1)="y"),R15,"")</f>
        <v/>
      </c>
      <c r="AO15" s="40">
        <f>IF(OR(LEFT($P15,1)="Y",LEFT($P15,1)="y"),S15,"")</f>
        <v/>
      </c>
      <c r="AP15" s="40">
        <f>IF(OR(LEFT($P15,1)="Y",LEFT($P15,1)="y"),T15,"")</f>
        <v/>
      </c>
      <c r="AQ15" s="40">
        <f>IF(OR(LEFT($P15,1)="Y",LEFT($P15,1)="y"),U15,"")</f>
        <v/>
      </c>
      <c r="AR15" s="40">
        <f>IF(OR(LEFT($P15,1)="Y",LEFT($P15,1)="y"),V15,"")</f>
        <v/>
      </c>
    </row>
    <row r="16" ht="15.75" customHeight="1" thickBot="1">
      <c r="A16" s="35" t="n"/>
      <c r="B16" s="29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131" t="n"/>
      <c r="L16" s="132" t="n"/>
      <c r="M16" s="132" t="n"/>
      <c r="N16" s="132" t="n"/>
      <c r="O16" s="133" t="n"/>
      <c r="P16" s="53" t="n"/>
      <c r="Q16" s="36" t="n"/>
      <c r="R16" s="37" t="n"/>
      <c r="S16" s="31" t="n"/>
      <c r="T16" s="31" t="n"/>
      <c r="U16" s="37" t="n"/>
      <c r="V16" s="36">
        <f>IFERROR(U16*16,"")</f>
        <v/>
      </c>
      <c r="W16" s="39">
        <f>IF(OR(LEFT(P16,1)="Y",LEFT(P16,1)="y"),A16,"")</f>
        <v/>
      </c>
      <c r="X16" s="41" t="n"/>
      <c r="Y16" s="40">
        <f>IF(OR(LEFT(P16,1)="Y",LEFT(P16,1)="y"),C16,"")</f>
        <v/>
      </c>
      <c r="Z16" s="40">
        <f>IF(OR(LEFT(P16,1)="Y",LEFT(P16,1)="y"),D16,"")</f>
        <v/>
      </c>
      <c r="AA16" s="40">
        <f>IF(OR(LEFT($P16,1)="Y",LEFT($P16,1)="y"),E16,"")</f>
        <v/>
      </c>
      <c r="AB16" s="40">
        <f>IF(OR(LEFT($P16,1)="Y",LEFT($P16,1)="y"),F16,"")</f>
        <v/>
      </c>
      <c r="AC16" s="40">
        <f>IF(OR(LEFT($P16,1)="Y",LEFT($P16,1)="y"),G16,"")</f>
        <v/>
      </c>
      <c r="AD16" s="40">
        <f>IF(OR(LEFT($P16,1)="Y",LEFT($P16,1)="y"),H16,"")</f>
        <v/>
      </c>
      <c r="AE16" s="40">
        <f>IF(OR(LEFT($P16,1)="Y",LEFT($P16,1)="y"),I16,"")</f>
        <v/>
      </c>
      <c r="AF16" s="40">
        <f>IF(OR(LEFT($P16,1)="Y",LEFT($P16,1)="y"),J16,"")</f>
        <v/>
      </c>
      <c r="AG16" s="40">
        <f>IF(OR(LEFT($P16,1)="Y",LEFT($P16,1)="y"),K16,"")</f>
        <v/>
      </c>
      <c r="AH16" s="40">
        <f>IF(OR(LEFT(P16,1)="Y",LEFT(P16,1)="y"),L16,"")</f>
        <v/>
      </c>
      <c r="AI16" s="40">
        <f>IF(OR(LEFT(P16,1)="Y",LEFT(P16,1)="y"),M16,"")</f>
        <v/>
      </c>
      <c r="AJ16" s="40">
        <f>IF(OR(LEFT(P16,1)="Y",LEFT(P16,1)="y"),N16,"")</f>
        <v/>
      </c>
      <c r="AK16" s="40">
        <f>IF(OR(LEFT(P16,1)="Y",LEFT(P16,1)="y"),O16,"")</f>
        <v/>
      </c>
      <c r="AL16" s="40">
        <f>IF(OR(LEFT($P16,1)="Y",LEFT($P16,1)="y"),P16,"")</f>
        <v/>
      </c>
      <c r="AM16" s="40">
        <f>IF(OR(LEFT($P16,1)="Y",LEFT($P16,1)="y"),Q16,"")</f>
        <v/>
      </c>
      <c r="AN16" s="40">
        <f>IF(OR(LEFT($P16,1)="Y",LEFT($P16,1)="y"),R16,"")</f>
        <v/>
      </c>
      <c r="AO16" s="40">
        <f>IF(OR(LEFT($P16,1)="Y",LEFT($P16,1)="y"),S16,"")</f>
        <v/>
      </c>
      <c r="AP16" s="40">
        <f>IF(OR(LEFT($P16,1)="Y",LEFT($P16,1)="y"),T16,"")</f>
        <v/>
      </c>
      <c r="AQ16" s="40">
        <f>IF(OR(LEFT($P16,1)="Y",LEFT($P16,1)="y"),U16,"")</f>
        <v/>
      </c>
      <c r="AR16" s="40">
        <f>IF(OR(LEFT($P16,1)="Y",LEFT($P16,1)="y"),V16,"")</f>
        <v/>
      </c>
    </row>
    <row r="17" ht="15.75" customHeight="1" thickBot="1">
      <c r="A17" s="35" t="n"/>
      <c r="B17" s="29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131" t="n"/>
      <c r="L17" s="132" t="n"/>
      <c r="M17" s="132" t="n"/>
      <c r="N17" s="132" t="n"/>
      <c r="O17" s="133" t="n"/>
      <c r="P17" s="52" t="n"/>
      <c r="Q17" s="36" t="n"/>
      <c r="R17" s="37" t="n"/>
      <c r="S17" s="31" t="n"/>
      <c r="T17" s="31" t="n"/>
      <c r="U17" s="37" t="n"/>
      <c r="V17" s="36">
        <f>IFERROR(U17*16,"")</f>
        <v/>
      </c>
      <c r="W17" s="39">
        <f>IF(OR(LEFT(P17,1)="Y",LEFT(P17,1)="y"),A17,"")</f>
        <v/>
      </c>
      <c r="X17" s="41" t="n"/>
      <c r="Y17" s="40">
        <f>IF(OR(LEFT(P17,1)="Y",LEFT(P17,1)="y"),C17,"")</f>
        <v/>
      </c>
      <c r="Z17" s="40">
        <f>IF(OR(LEFT(P17,1)="Y",LEFT(P17,1)="y"),D17,"")</f>
        <v/>
      </c>
      <c r="AA17" s="40">
        <f>IF(OR(LEFT($P17,1)="Y",LEFT($P17,1)="y"),E17,"")</f>
        <v/>
      </c>
      <c r="AB17" s="40">
        <f>IF(OR(LEFT($P17,1)="Y",LEFT($P17,1)="y"),F17,"")</f>
        <v/>
      </c>
      <c r="AC17" s="40">
        <f>IF(OR(LEFT($P17,1)="Y",LEFT($P17,1)="y"),G17,"")</f>
        <v/>
      </c>
      <c r="AD17" s="40">
        <f>IF(OR(LEFT($P17,1)="Y",LEFT($P17,1)="y"),H17,"")</f>
        <v/>
      </c>
      <c r="AE17" s="40">
        <f>IF(OR(LEFT($P17,1)="Y",LEFT($P17,1)="y"),I17,"")</f>
        <v/>
      </c>
      <c r="AF17" s="40">
        <f>IF(OR(LEFT($P17,1)="Y",LEFT($P17,1)="y"),J17,"")</f>
        <v/>
      </c>
      <c r="AG17" s="40">
        <f>IF(OR(LEFT($P17,1)="Y",LEFT($P17,1)="y"),K17,"")</f>
        <v/>
      </c>
      <c r="AH17" s="40">
        <f>IF(OR(LEFT(P17,1)="Y",LEFT(P17,1)="y"),L17,"")</f>
        <v/>
      </c>
      <c r="AI17" s="40">
        <f>IF(OR(LEFT(P17,1)="Y",LEFT(P17,1)="y"),M17,"")</f>
        <v/>
      </c>
      <c r="AJ17" s="40">
        <f>IF(OR(LEFT(P17,1)="Y",LEFT(P17,1)="y"),N17,"")</f>
        <v/>
      </c>
      <c r="AK17" s="40">
        <f>IF(OR(LEFT(P17,1)="Y",LEFT(P17,1)="y"),O17,"")</f>
        <v/>
      </c>
      <c r="AL17" s="40">
        <f>IF(OR(LEFT($P17,1)="Y",LEFT($P17,1)="y"),P17,"")</f>
        <v/>
      </c>
      <c r="AM17" s="40">
        <f>IF(OR(LEFT($P17,1)="Y",LEFT($P17,1)="y"),Q17,"")</f>
        <v/>
      </c>
      <c r="AN17" s="40">
        <f>IF(OR(LEFT($P17,1)="Y",LEFT($P17,1)="y"),R17,"")</f>
        <v/>
      </c>
      <c r="AO17" s="40">
        <f>IF(OR(LEFT($P17,1)="Y",LEFT($P17,1)="y"),S17,"")</f>
        <v/>
      </c>
      <c r="AP17" s="40">
        <f>IF(OR(LEFT($P17,1)="Y",LEFT($P17,1)="y"),T17,"")</f>
        <v/>
      </c>
      <c r="AQ17" s="40">
        <f>IF(OR(LEFT($P17,1)="Y",LEFT($P17,1)="y"),U17,"")</f>
        <v/>
      </c>
      <c r="AR17" s="40">
        <f>IF(OR(LEFT($P17,1)="Y",LEFT($P17,1)="y"),V17,"")</f>
        <v/>
      </c>
    </row>
    <row r="18" ht="15.75" customHeight="1" thickBot="1">
      <c r="A18" s="35" t="n"/>
      <c r="B18" s="29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131" t="n"/>
      <c r="L18" s="132" t="n"/>
      <c r="M18" s="132" t="n"/>
      <c r="N18" s="132" t="n"/>
      <c r="O18" s="133" t="n"/>
      <c r="P18" s="52" t="n"/>
      <c r="Q18" s="36" t="n"/>
      <c r="R18" s="37" t="n"/>
      <c r="S18" s="31" t="n"/>
      <c r="T18" s="31" t="n"/>
      <c r="U18" s="37" t="n"/>
      <c r="V18" s="36">
        <f>IFERROR(U18*16,"")</f>
        <v/>
      </c>
      <c r="W18" s="39">
        <f>IF(OR(LEFT(P18,1)="Y",LEFT(P18,1)="y"),A18,"")</f>
        <v/>
      </c>
      <c r="X18" s="41" t="n"/>
      <c r="Y18" s="40">
        <f>IF(OR(LEFT(P18,1)="Y",LEFT(P18,1)="y"),C18,"")</f>
        <v/>
      </c>
      <c r="Z18" s="40">
        <f>IF(OR(LEFT(P18,1)="Y",LEFT(P18,1)="y"),D18,"")</f>
        <v/>
      </c>
      <c r="AA18" s="40">
        <f>IF(OR(LEFT($P18,1)="Y",LEFT($P18,1)="y"),E18,"")</f>
        <v/>
      </c>
      <c r="AB18" s="40">
        <f>IF(OR(LEFT($P18,1)="Y",LEFT($P18,1)="y"),F18,"")</f>
        <v/>
      </c>
      <c r="AC18" s="40">
        <f>IF(OR(LEFT($P18,1)="Y",LEFT($P18,1)="y"),G18,"")</f>
        <v/>
      </c>
      <c r="AD18" s="40">
        <f>IF(OR(LEFT($P18,1)="Y",LEFT($P18,1)="y"),H18,"")</f>
        <v/>
      </c>
      <c r="AE18" s="40">
        <f>IF(OR(LEFT($P18,1)="Y",LEFT($P18,1)="y"),I18,"")</f>
        <v/>
      </c>
      <c r="AF18" s="40">
        <f>IF(OR(LEFT($P18,1)="Y",LEFT($P18,1)="y"),J18,"")</f>
        <v/>
      </c>
      <c r="AG18" s="40">
        <f>IF(OR(LEFT($P18,1)="Y",LEFT($P18,1)="y"),K18,"")</f>
        <v/>
      </c>
      <c r="AH18" s="40">
        <f>IF(OR(LEFT(P18,1)="Y",LEFT(P18,1)="y"),L18,"")</f>
        <v/>
      </c>
      <c r="AI18" s="40">
        <f>IF(OR(LEFT(P18,1)="Y",LEFT(P18,1)="y"),M18,"")</f>
        <v/>
      </c>
      <c r="AJ18" s="40">
        <f>IF(OR(LEFT(P18,1)="Y",LEFT(P18,1)="y"),N18,"")</f>
        <v/>
      </c>
      <c r="AK18" s="40">
        <f>IF(OR(LEFT(P18,1)="Y",LEFT(P18,1)="y"),O18,"")</f>
        <v/>
      </c>
      <c r="AL18" s="40">
        <f>IF(OR(LEFT($P18,1)="Y",LEFT($P18,1)="y"),P18,"")</f>
        <v/>
      </c>
      <c r="AM18" s="40">
        <f>IF(OR(LEFT($P18,1)="Y",LEFT($P18,1)="y"),Q18,"")</f>
        <v/>
      </c>
      <c r="AN18" s="40">
        <f>IF(OR(LEFT($P18,1)="Y",LEFT($P18,1)="y"),R18,"")</f>
        <v/>
      </c>
      <c r="AO18" s="40">
        <f>IF(OR(LEFT($P18,1)="Y",LEFT($P18,1)="y"),S18,"")</f>
        <v/>
      </c>
      <c r="AP18" s="40">
        <f>IF(OR(LEFT($P18,1)="Y",LEFT($P18,1)="y"),T18,"")</f>
        <v/>
      </c>
      <c r="AQ18" s="40">
        <f>IF(OR(LEFT($P18,1)="Y",LEFT($P18,1)="y"),U18,"")</f>
        <v/>
      </c>
      <c r="AR18" s="40">
        <f>IF(OR(LEFT($P18,1)="Y",LEFT($P18,1)="y"),V18,"")</f>
        <v/>
      </c>
    </row>
    <row r="19" ht="15.75" customHeight="1" thickBot="1">
      <c r="A19" s="135" t="inlineStr">
        <is>
          <t>Total Semester Credit and Contact Hours</t>
        </is>
      </c>
      <c r="B19" s="136" t="n"/>
      <c r="C19" s="136" t="n"/>
      <c r="D19" s="136" t="n"/>
      <c r="E19" s="136" t="n"/>
      <c r="F19" s="136" t="n"/>
      <c r="G19" s="136" t="n"/>
      <c r="H19" s="137" t="inlineStr">
        <is>
          <t>Credit Hours Total</t>
        </is>
      </c>
      <c r="I19" s="138">
        <f>SUM(I9:I18)-SUMIF(P9:P18,"Yes",I9:I18)</f>
        <v/>
      </c>
      <c r="J19" s="139" t="n"/>
      <c r="K19" s="139" t="n"/>
      <c r="L19" s="132" t="n"/>
      <c r="M19" s="132" t="n"/>
      <c r="N19" s="132" t="n"/>
      <c r="O19" s="140" t="n"/>
      <c r="P19" s="139" t="n"/>
      <c r="Q19" s="139" t="n"/>
      <c r="R19" s="141">
        <f>SUM(R9:R18)</f>
        <v/>
      </c>
      <c r="S19" s="27">
        <f>SUM(S9:S18)</f>
        <v/>
      </c>
      <c r="T19" s="27">
        <f>SUM(T9:T18)</f>
        <v/>
      </c>
      <c r="U19" s="26" t="n"/>
      <c r="V19" s="28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>
        <f>IF(OR(LEFT($P19,1)="Y",LEFT($P19,1)="y"),I19,"")</f>
        <v/>
      </c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</row>
    <row r="20" ht="15.75" customHeight="1" thickBot="1">
      <c r="A20" s="142" t="inlineStr">
        <is>
          <t>List each course you have been assigned and update credit and contact hours.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3" t="n"/>
      <c r="K20" s="143" t="n"/>
      <c r="L20" s="144" t="n"/>
      <c r="M20" s="144" t="n"/>
      <c r="N20" s="144" t="n"/>
      <c r="O20" s="143" t="n"/>
      <c r="P20" s="143" t="n"/>
      <c r="Q20" s="143" t="n"/>
      <c r="R20" s="143" t="n"/>
      <c r="S20" s="145" t="n"/>
      <c r="T20" s="44" t="inlineStr">
        <is>
          <t>Weekly Contact Hour Total:</t>
        </is>
      </c>
      <c r="U20" s="11">
        <f>SUM(U9:U18)</f>
        <v/>
      </c>
      <c r="V20" s="13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L20" s="2" t="n"/>
      <c r="AM20" s="2" t="n"/>
      <c r="AN20" s="2" t="n"/>
      <c r="AO20" s="2" t="n"/>
      <c r="AP20" s="2" t="n"/>
      <c r="AQ20" s="2" t="n"/>
      <c r="AR20" s="2" t="n"/>
    </row>
    <row r="21" ht="15.75" customHeight="1" thickBot="1">
      <c r="A21" s="146" t="inlineStr">
        <is>
          <t>For all courses, mark column P if the course is on an overload contract.</t>
        </is>
      </c>
      <c r="B21" s="147" t="n"/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147" t="n"/>
      <c r="O21" s="147" t="n"/>
      <c r="P21" s="147" t="n"/>
      <c r="Q21" s="147" t="n"/>
      <c r="R21" s="147" t="n"/>
      <c r="S21" s="145" t="n"/>
      <c r="T21" s="45" t="inlineStr">
        <is>
          <t>Acceptable Credit Hour Range:</t>
        </is>
      </c>
      <c r="U21" s="10">
        <f>IF(K4="Faculty","14-16",IF(K4="Program Chair","9-13",IF(K4="Labs_Clinicals","18-22", IF(K4="Chair_Labs_Clinicals","15-19"))))</f>
        <v/>
      </c>
      <c r="V21" s="2">
        <f>SUM(V9:V18)</f>
        <v/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L21" s="2" t="n"/>
      <c r="AM21" s="2" t="n"/>
      <c r="AN21" s="2" t="n"/>
      <c r="AO21" s="2" t="n"/>
      <c r="AP21" s="2" t="n"/>
      <c r="AQ21" s="2" t="n"/>
      <c r="AR21" s="2" t="n"/>
    </row>
    <row r="22" ht="15.75" customHeight="1" thickBot="1">
      <c r="A22" s="147" t="n"/>
      <c r="B22" s="146" t="inlineStr">
        <is>
          <t>Overload course will not count in assigned hours.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147" t="n"/>
      <c r="O22" s="147" t="n"/>
      <c r="P22" s="147" t="n"/>
      <c r="Q22" s="147" t="n"/>
      <c r="R22" s="147" t="n"/>
      <c r="S22" s="145" t="n"/>
      <c r="U22" s="46" t="inlineStr">
        <is>
          <t>Acceptable Contact Hours</t>
        </is>
      </c>
      <c r="V22" s="47">
        <f>IF(K4="Faculty","240-303",IF(K4="Program Chair","190-243",IF(K4="Labs_Clinicals","288-352",IF(K4="Chair_Labs_Clinicals","240-304"))))</f>
        <v/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L22" s="2" t="n"/>
      <c r="AM22" s="2" t="n"/>
      <c r="AN22" s="2" t="n"/>
      <c r="AO22" s="2" t="n"/>
      <c r="AP22" s="2" t="n"/>
      <c r="AQ22" s="2" t="n"/>
      <c r="AR22" s="2" t="n"/>
    </row>
    <row r="23" ht="15.75" customHeight="1" thickBot="1">
      <c r="A23" s="146" t="inlineStr">
        <is>
          <t>For all courses, enter the percent of contract hours applied to contract in column N. (Most courses will be 100%.)</t>
        </is>
      </c>
      <c r="B23" s="147" t="n"/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147" t="n"/>
      <c r="O23" s="147" t="n"/>
      <c r="P23" s="147" t="n"/>
      <c r="Q23" s="147" t="n"/>
      <c r="R23" s="147" t="n"/>
      <c r="T23" s="46" t="inlineStr">
        <is>
          <t>Load Request</t>
        </is>
      </c>
      <c r="U23" s="50" t="n">
        <v>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L23" s="2" t="n"/>
      <c r="AM23" s="2" t="n"/>
      <c r="AN23" s="2" t="n"/>
      <c r="AO23" s="2" t="n"/>
      <c r="AP23" s="2" t="n"/>
      <c r="AQ23" s="2" t="n"/>
      <c r="AR23" s="2" t="n"/>
    </row>
    <row r="24" ht="15.75" customHeight="1" thickBot="1">
      <c r="A24" s="146" t="inlineStr">
        <is>
          <t>If two or more courses are stacked, co-listed, or merged, mark primary course as 100% and others as 0% in column N and add a notation in the comments.</t>
        </is>
      </c>
      <c r="B24" s="147" t="n"/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147" t="n"/>
      <c r="O24" s="147" t="n"/>
      <c r="P24" s="147" t="n"/>
      <c r="Q24" s="147" t="n"/>
      <c r="R24" s="147" t="n"/>
      <c r="S24" s="145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L24" s="2" t="n"/>
      <c r="AM24" s="2" t="n"/>
      <c r="AN24" s="2" t="n"/>
      <c r="AO24" s="2" t="n"/>
      <c r="AP24" s="2" t="n"/>
      <c r="AQ24" s="2" t="n"/>
      <c r="AR24" s="2" t="n"/>
    </row>
    <row r="25" ht="15.75" customHeight="1" thickBot="1">
      <c r="A25" s="148" t="inlineStr">
        <is>
          <t>If course size exceeds 30, please enter 200% for contract hours in Column N</t>
        </is>
      </c>
      <c r="B25" s="149" t="n"/>
      <c r="C25" s="149" t="n"/>
      <c r="D25" s="149" t="n"/>
      <c r="E25" s="147" t="n"/>
      <c r="F25" s="147" t="n"/>
      <c r="G25" s="147" t="n"/>
      <c r="H25" s="147" t="n"/>
      <c r="I25" s="147" t="n"/>
      <c r="J25" s="147" t="n"/>
      <c r="K25" s="147" t="n"/>
      <c r="O25" s="147" t="n"/>
      <c r="P25" s="147" t="n"/>
      <c r="Q25" s="147" t="n"/>
      <c r="R25" s="147" t="n"/>
      <c r="S25" s="145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L25" s="2" t="n"/>
      <c r="AM25" s="2" t="n"/>
      <c r="AN25" s="2" t="n"/>
      <c r="AO25" s="2" t="n"/>
      <c r="AP25" s="2" t="n"/>
      <c r="AQ25" s="2" t="n"/>
      <c r="AR25" s="2" t="n"/>
    </row>
    <row r="26" ht="15.75" customHeight="1" thickBot="1">
      <c r="A26" s="147" t="n"/>
      <c r="B26" s="147" t="n"/>
      <c r="C26" s="150" t="n"/>
      <c r="D26" s="150" t="n"/>
      <c r="E26" s="150" t="n"/>
      <c r="F26" s="150" t="n"/>
      <c r="G26" s="150" t="n"/>
      <c r="H26" s="150" t="n"/>
      <c r="I26" s="150" t="n"/>
      <c r="J26" s="150" t="n"/>
      <c r="K26" s="150" t="n"/>
      <c r="O26" s="150" t="n"/>
      <c r="P26" s="150" t="n"/>
      <c r="Q26" s="150" t="n"/>
      <c r="R26" s="150" t="n"/>
      <c r="S26" s="151" t="n"/>
      <c r="T26" s="16" t="n"/>
      <c r="U26" s="16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L26" s="2" t="n"/>
      <c r="AM26" s="2" t="n"/>
      <c r="AN26" s="2" t="n"/>
      <c r="AO26" s="2" t="n"/>
      <c r="AP26" s="2" t="n"/>
      <c r="AQ26" s="2" t="n"/>
      <c r="AR26" s="2" t="n"/>
    </row>
    <row r="27" ht="15.75" customHeight="1" thickBot="1">
      <c r="A27" s="152" t="inlineStr">
        <is>
          <t>COMMENTS:</t>
        </is>
      </c>
      <c r="B27" s="153" t="n"/>
      <c r="C27" s="154" t="n"/>
      <c r="U27" s="111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L27" s="2" t="n"/>
      <c r="AM27" s="2" t="n"/>
      <c r="AN27" s="2" t="n"/>
      <c r="AO27" s="2" t="n"/>
      <c r="AP27" s="2" t="n"/>
      <c r="AQ27" s="2" t="n"/>
      <c r="AR27" s="2" t="n"/>
    </row>
    <row r="28" ht="15.75" customHeight="1" thickBot="1">
      <c r="A28" s="2" t="n"/>
      <c r="B28" s="8" t="n"/>
      <c r="C28" s="110" t="n"/>
      <c r="U28" s="111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L28" s="2" t="n"/>
      <c r="AM28" s="2" t="n"/>
      <c r="AN28" s="2" t="n"/>
      <c r="AO28" s="2" t="n"/>
      <c r="AP28" s="2" t="n"/>
      <c r="AQ28" s="2" t="n"/>
      <c r="AR28" s="2" t="n"/>
    </row>
    <row r="29" ht="15.75" customHeight="1" thickBot="1">
      <c r="A29" s="2" t="n"/>
      <c r="B29" s="8" t="n"/>
      <c r="C29" s="118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20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L29" s="2" t="n"/>
      <c r="AM29" s="2" t="n"/>
      <c r="AN29" s="2" t="n"/>
      <c r="AO29" s="2" t="n"/>
      <c r="AP29" s="2" t="n"/>
      <c r="AQ29" s="2" t="n"/>
      <c r="AR29" s="2" t="n"/>
    </row>
    <row r="30" ht="15.75" customHeight="1" thickBot="1">
      <c r="A30" s="2" t="n"/>
      <c r="B30" s="2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O30" s="17" t="n"/>
      <c r="P30" s="17" t="n"/>
      <c r="Q30" s="17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L30" s="2" t="n"/>
      <c r="AM30" s="2" t="n"/>
      <c r="AN30" s="2" t="n"/>
      <c r="AO30" s="2" t="n"/>
      <c r="AP30" s="2" t="n"/>
      <c r="AQ30" s="2" t="n"/>
      <c r="AR30" s="2" t="n"/>
    </row>
    <row r="31" ht="15.75" customHeight="1" thickBot="1">
      <c r="A31" s="2" t="n"/>
      <c r="B31" s="2" t="n"/>
      <c r="C31" s="2" t="n"/>
      <c r="D31" s="2" t="n"/>
      <c r="E31" s="2" t="n"/>
      <c r="F31" s="6" t="n"/>
      <c r="G31" s="6" t="n"/>
      <c r="H31" s="6" t="n"/>
      <c r="I31" s="6" t="n"/>
      <c r="J31" s="6" t="n"/>
      <c r="K31" s="6" t="n"/>
      <c r="O31" s="2" t="n"/>
      <c r="P31" s="6" t="n"/>
      <c r="Q31" s="6" t="n"/>
      <c r="R31" s="2" t="n"/>
      <c r="S31" s="2" t="n"/>
      <c r="T31" s="2" t="n"/>
      <c r="U31" s="6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L31" s="2" t="n"/>
      <c r="AM31" s="2" t="n"/>
      <c r="AN31" s="2" t="n"/>
      <c r="AO31" s="2" t="n"/>
      <c r="AP31" s="2" t="n"/>
      <c r="AQ31" s="2" t="n"/>
      <c r="AR31" s="2" t="n"/>
    </row>
    <row r="32" ht="15.75" customHeight="1" thickBot="1">
      <c r="A32" s="2" t="n"/>
      <c r="B32" s="2" t="n"/>
      <c r="C32" s="2" t="n"/>
      <c r="D32" s="2" t="n"/>
      <c r="E32" s="2" t="n"/>
      <c r="F32" s="121" t="inlineStr">
        <is>
          <t>Faculty Signature</t>
        </is>
      </c>
      <c r="G32" s="122" t="n"/>
      <c r="H32" s="122" t="n"/>
      <c r="I32" s="122" t="n"/>
      <c r="J32" s="122" t="n"/>
      <c r="K32" s="123" t="n"/>
      <c r="O32" s="2" t="n"/>
      <c r="P32" s="121" t="inlineStr">
        <is>
          <t>Date</t>
        </is>
      </c>
      <c r="Q32" s="123" t="n"/>
      <c r="R32" s="2" t="n"/>
      <c r="S32" s="6" t="n"/>
      <c r="T32" s="10" t="n"/>
      <c r="U32" s="12" t="inlineStr">
        <is>
          <t>Review</t>
        </is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L32" s="2" t="n"/>
      <c r="AM32" s="2" t="n"/>
      <c r="AN32" s="2" t="n"/>
      <c r="AO32" s="2" t="n"/>
      <c r="AP32" s="2" t="n"/>
      <c r="AQ32" s="2" t="n"/>
      <c r="AR32" s="2" t="n"/>
    </row>
    <row r="33" ht="15.75" customHeight="1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O33" s="2" t="n"/>
      <c r="P33" s="2" t="n"/>
      <c r="Q33" s="2" t="n"/>
      <c r="R33" s="8" t="n"/>
      <c r="S33" s="124" t="inlineStr">
        <is>
          <t>First 8 Week</t>
        </is>
      </c>
      <c r="T33" s="125" t="n"/>
      <c r="U33" s="10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L33" s="2" t="n"/>
      <c r="AM33" s="2" t="n"/>
      <c r="AN33" s="2" t="n"/>
      <c r="AO33" s="2" t="n"/>
      <c r="AP33" s="2" t="n"/>
      <c r="AQ33" s="2" t="n"/>
      <c r="AR33" s="2" t="n"/>
    </row>
    <row r="34" ht="15.75" customHeight="1" thickBot="1">
      <c r="A34" s="2" t="n"/>
      <c r="B34" s="2" t="n"/>
      <c r="C34" s="2" t="n"/>
      <c r="D34" s="2" t="n"/>
      <c r="E34" s="2" t="n"/>
      <c r="F34" s="6" t="n"/>
      <c r="G34" s="6" t="n"/>
      <c r="H34" s="2" t="n"/>
      <c r="I34" s="6" t="n"/>
      <c r="J34" s="6" t="n"/>
      <c r="K34" s="6" t="n"/>
      <c r="O34" s="2" t="n"/>
      <c r="P34" s="18" t="n"/>
      <c r="Q34" s="6" t="n"/>
      <c r="R34" s="8" t="n"/>
      <c r="S34" s="124" t="inlineStr">
        <is>
          <t>Second 8 Week</t>
        </is>
      </c>
      <c r="T34" s="125" t="n"/>
      <c r="U34" s="19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L34" s="2" t="n"/>
      <c r="AM34" s="2" t="n"/>
      <c r="AN34" s="2" t="n"/>
      <c r="AO34" s="2" t="n"/>
      <c r="AP34" s="2" t="n"/>
      <c r="AQ34" s="2" t="n"/>
      <c r="AR34" s="2" t="n"/>
    </row>
    <row r="35" ht="34.5" customHeight="1" thickBot="1">
      <c r="A35" s="2" t="n"/>
      <c r="B35" s="2" t="n"/>
      <c r="C35" s="2" t="n"/>
      <c r="D35" s="2" t="n"/>
      <c r="E35" s="2" t="n"/>
      <c r="F35" s="126" t="inlineStr">
        <is>
          <t>Program
Chair
Initial</t>
        </is>
      </c>
      <c r="G35" s="123" t="n"/>
      <c r="H35" s="2" t="n"/>
      <c r="I35" s="126" t="inlineStr">
        <is>
          <t>Dean
Initial</t>
        </is>
      </c>
      <c r="J35" s="122" t="n"/>
      <c r="K35" s="123" t="n"/>
      <c r="O35" s="2" t="n"/>
      <c r="P35" s="127" t="inlineStr">
        <is>
          <t>Vice Chancellor of Academic Affairs Initial</t>
        </is>
      </c>
      <c r="Q35" s="123" t="n"/>
      <c r="R35" s="20" t="n"/>
      <c r="S35" s="21" t="n"/>
      <c r="T35" s="21" t="n"/>
      <c r="U35" s="21" t="n"/>
      <c r="V35" s="21" t="n"/>
      <c r="W35" s="21" t="n"/>
      <c r="X35" s="21" t="n"/>
      <c r="Y35" s="21" t="n"/>
      <c r="Z35" s="15" t="n"/>
      <c r="AA35" s="15" t="n"/>
      <c r="AB35" s="2" t="n"/>
      <c r="AC35" s="2" t="n"/>
      <c r="AD35" s="2" t="n"/>
      <c r="AE35" s="2" t="n"/>
      <c r="AF35" s="2" t="n"/>
      <c r="AG35" s="2" t="n"/>
      <c r="AH35" s="2" t="n"/>
      <c r="AL35" s="2" t="n"/>
      <c r="AM35" s="2" t="n"/>
      <c r="AN35" s="2" t="n"/>
      <c r="AO35" s="2" t="n"/>
      <c r="AP35" s="2" t="n"/>
      <c r="AQ35" s="2" t="n"/>
      <c r="AR35" s="2" t="n"/>
    </row>
  </sheetData>
  <mergeCells count="17">
    <mergeCell ref="W8:X8"/>
    <mergeCell ref="S34:T34"/>
    <mergeCell ref="K4:Q4"/>
    <mergeCell ref="P35:Q35"/>
    <mergeCell ref="C27:U29"/>
    <mergeCell ref="F32:K32"/>
    <mergeCell ref="K3:Q3"/>
    <mergeCell ref="P32:Q32"/>
    <mergeCell ref="R7:U7"/>
    <mergeCell ref="S33:T33"/>
    <mergeCell ref="I35:K35"/>
    <mergeCell ref="I6:O7"/>
    <mergeCell ref="A8:B8"/>
    <mergeCell ref="K2:Q2"/>
    <mergeCell ref="K1:Q1"/>
    <mergeCell ref="F35:G35"/>
    <mergeCell ref="W6:AF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Gorbett</dc:creator>
  <dcterms:created xmlns:dcterms="http://purl.org/dc/terms/" xmlns:xsi="http://www.w3.org/2001/XMLSchema-instance" xsi:type="dcterms:W3CDTF">2025-01-03T16:53:33Z</dcterms:created>
  <dcterms:modified xmlns:dcterms="http://purl.org/dc/terms/" xmlns:xsi="http://www.w3.org/2001/XMLSchema-instance" xsi:type="dcterms:W3CDTF">2026-09-28T12:53:55Z</dcterms:modified>
  <cp:lastModifiedBy>David Rettig</cp:lastModifiedBy>
</cp:coreProperties>
</file>